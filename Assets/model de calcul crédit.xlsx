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filterPrivacy="1" codeName="ThisWorkbook" defaultThemeVersion="124226"/>
  <xr:revisionPtr revIDLastSave="0" documentId="13_ncr:1_{7962AE15-5F47-4EE1-9653-38CE4C6ED8CE}" xr6:coauthVersionLast="47" xr6:coauthVersionMax="47" xr10:uidLastSave="{00000000-0000-0000-0000-000000000000}"/>
  <x:bookViews>
    <x:workbookView xWindow="-120" yWindow="-120" windowWidth="29040" windowHeight="15720" tabRatio="363" firstSheet="0" activeTab="0" xr2:uid="{00000000-000D-0000-FFFF-FFFF00000000}"/>
  </x:bookViews>
  <x:sheets>
    <x:sheet name="TAM" sheetId="1" r:id="rId1"/>
    <x:sheet name="Avancé" sheetId="2" r:id="rId2"/>
  </x:sheets>
  <x:definedNames>
    <x:definedName name="_xlnm._FilterDatabase" localSheetId="0" hidden="1">TAM!$J$13:$J$447</x:definedName>
    <x:definedName name="Anniversaire">TAM!$B$27:$F$27,TAM!$B$39:$F$39,TAM!$B$51:$F$51,TAM!$B$63:$F$63</x:definedName>
    <x:definedName name="CAP1E">TAM!$S$6</x:definedName>
    <x:definedName name="CapitFIXE">TAM!#REF!</x:definedName>
    <x:definedName name="Changement_de_taux">TAM!$B$15:$B$315</x:definedName>
    <x:definedName name="Cout_Total">TAM!$P$8</x:definedName>
    <x:definedName name="DATDB">TAM!$S$7</x:definedName>
    <x:definedName name="DebAmort">TAM!$F$6</x:definedName>
    <x:definedName name="Différé">TAM!$V$8</x:definedName>
    <x:definedName name="DiffSimple">TAM!$V$6</x:definedName>
    <x:definedName name="DiffTotal">TAM!$V$7</x:definedName>
    <x:definedName name="EchFIXE">TAM!$S$2</x:definedName>
    <x:definedName name="FraisF">TAM!$M$3</x:definedName>
    <x:definedName name="FraisV">TAM!$M$4</x:definedName>
    <x:definedName name="Ijour">TAM!$T$6</x:definedName>
    <x:definedName name="Imois">TAM!$T$5</x:definedName>
    <x:definedName name="INT1E">TAM!$S$5</x:definedName>
    <x:definedName name="Jour1">TAM!$T$7</x:definedName>
    <x:definedName name="Jour2">TAM!$T$8</x:definedName>
    <x:definedName name="MoisD">TAM!$T$9</x:definedName>
    <x:definedName name="MtEch">TAM!$D$8</x:definedName>
    <x:definedName name="MtEmprunt">TAM!$V$12</x:definedName>
    <x:definedName name="NbDeci">TAM!$S$1</x:definedName>
    <x:definedName name="NbEch">TAM!$T$2</x:definedName>
    <x:definedName name="NbEchAn">TAM!$T$1</x:definedName>
    <x:definedName name="NoEchMaxi">TAM!$S$3</x:definedName>
    <x:definedName name="NoEchRemb">TAM!$S$4</x:definedName>
    <x:definedName name="Nombre_échéances">TAM!$P$4</x:definedName>
    <x:definedName name="Periodicite">TAM!$W$10</x:definedName>
    <x:definedName name="RVDebit">TAM!#REF!</x:definedName>
    <x:definedName name="TauxActuariel">TAM!$V$3</x:definedName>
    <x:definedName name="Total_Capital">TAM!$P$6</x:definedName>
    <x:definedName name="Total_Frais">TAM!$P$7</x:definedName>
    <x:definedName name="Total_Intérêts">TAM!$P$5</x:definedName>
    <x:definedName name="TVDebit">TAM!$B$2:$B$8</x:definedName>
    <x:definedName name="TxPer">TAM!$T$4</x:definedName>
  </x:definedNames>
  <x:calcPr calcId="191029" iterateDelta="9.9999999999999995E-7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S1" i="1"/>
  <x:c r="T1" i="1"/>
  <x:c r="S2" i="1"/>
  <x:c r="T2" i="1"/>
  <x:c r="P3" i="1"/>
  <x:c r="S3" i="1"/>
  <x:c r="T3" i="1"/>
  <x:c r="V3" i="1"/>
  <x:c r="P4" i="1"/>
  <x:c r="S4" i="1"/>
  <x:c r="T4" i="1"/>
  <x:c r="P5" i="1"/>
  <x:c r="S5" i="1"/>
  <x:c r="T5" i="1"/>
  <x:c r="P6" i="1"/>
  <x:c r="S6" i="1"/>
  <x:c r="T6" i="1"/>
  <x:c r="V6" i="1"/>
  <x:c r="P7" i="1"/>
  <x:c r="S7" i="1"/>
  <x:c r="T7" i="1"/>
  <x:c r="V7" i="1"/>
  <x:c r="C8" i="1"/>
  <x:c r="D8" i="1"/>
  <x:c r="P8" i="1"/>
  <x:c r="T8" i="1"/>
  <x:c r="V8" i="1"/>
  <x:c r="T9" i="1"/>
  <x:c r="V10" i="1"/>
  <x:c r="W10" i="1"/>
  <x:c r="B11" i="1"/>
  <x:c r="C11" i="1"/>
  <x:c r="D11" i="1"/>
  <x:c r="E11" i="1"/>
  <x:c r="F11" i="1"/>
  <x:c r="V11" i="1"/>
  <x:c r="V12" i="1"/>
  <x:c r="C14" i="1"/>
  <x:c r="J14" i="1"/>
  <x:c r="K14" i="1"/>
  <x:c r="N14" i="1"/>
  <x:c r="O14" i="1"/>
  <x:c r="P14" i="1"/>
  <x:c r="H15" i="1"/>
  <x:c r="I15" i="1"/>
  <x:c r="J15" i="1"/>
  <x:c r="K15" i="1"/>
  <x:c r="L15" i="1"/>
  <x:c r="M15" i="1"/>
  <x:c r="N15" i="1"/>
  <x:c r="O15" i="1"/>
  <x:c r="P15" i="1"/>
  <x:c r="R15" i="1"/>
  <x:c r="S15" i="1"/>
  <x:c r="H16" i="1"/>
  <x:c r="I16" i="1"/>
  <x:c r="J16" i="1"/>
  <x:c r="K16" i="1"/>
  <x:c r="L16" i="1"/>
  <x:c r="M16" i="1"/>
  <x:c r="N16" i="1"/>
  <x:c r="O16" i="1"/>
  <x:c r="P16" i="1"/>
  <x:c r="R16" i="1"/>
  <x:c r="S16" i="1"/>
  <x:c r="H17" i="1"/>
  <x:c r="I17" i="1"/>
  <x:c r="J17" i="1"/>
  <x:c r="K17" i="1"/>
  <x:c r="L17" i="1"/>
  <x:c r="M17" i="1"/>
  <x:c r="N17" i="1"/>
  <x:c r="O17" i="1"/>
  <x:c r="P17" i="1"/>
  <x:c r="R17" i="1"/>
  <x:c r="S17" i="1"/>
  <x:c r="H18" i="1"/>
  <x:c r="I18" i="1"/>
  <x:c r="J18" i="1"/>
  <x:c r="K18" i="1"/>
  <x:c r="L18" i="1"/>
  <x:c r="M18" i="1"/>
  <x:c r="N18" i="1"/>
  <x:c r="O18" i="1"/>
  <x:c r="P18" i="1"/>
  <x:c r="R18" i="1"/>
  <x:c r="S18" i="1"/>
  <x:c r="H19" i="1"/>
  <x:c r="I19" i="1"/>
  <x:c r="J19" i="1"/>
  <x:c r="K19" i="1"/>
  <x:c r="L19" i="1"/>
  <x:c r="M19" i="1"/>
  <x:c r="N19" i="1"/>
  <x:c r="O19" i="1"/>
  <x:c r="P19" i="1"/>
  <x:c r="R19" i="1"/>
  <x:c r="S19" i="1"/>
  <x:c r="H20" i="1"/>
  <x:c r="I20" i="1"/>
  <x:c r="J20" i="1"/>
  <x:c r="K20" i="1"/>
  <x:c r="L20" i="1"/>
  <x:c r="M20" i="1"/>
  <x:c r="N20" i="1"/>
  <x:c r="O20" i="1"/>
  <x:c r="P20" i="1"/>
  <x:c r="R20" i="1"/>
  <x:c r="S20" i="1"/>
  <x:c r="H21" i="1"/>
  <x:c r="I21" i="1"/>
  <x:c r="J21" i="1"/>
  <x:c r="K21" i="1"/>
  <x:c r="L21" i="1"/>
  <x:c r="M21" i="1"/>
  <x:c r="N21" i="1"/>
  <x:c r="O21" i="1"/>
  <x:c r="P21" i="1"/>
  <x:c r="R21" i="1"/>
  <x:c r="S21" i="1"/>
  <x:c r="H22" i="1"/>
  <x:c r="I22" i="1"/>
  <x:c r="J22" i="1"/>
  <x:c r="K22" i="1"/>
  <x:c r="L22" i="1"/>
  <x:c r="M22" i="1"/>
  <x:c r="N22" i="1"/>
  <x:c r="O22" i="1"/>
  <x:c r="P22" i="1"/>
  <x:c r="R22" i="1"/>
  <x:c r="S22" i="1"/>
  <x:c r="H23" i="1"/>
  <x:c r="I23" i="1"/>
  <x:c r="J23" i="1"/>
  <x:c r="K23" i="1"/>
  <x:c r="L23" i="1"/>
  <x:c r="M23" i="1"/>
  <x:c r="N23" i="1"/>
  <x:c r="O23" i="1"/>
  <x:c r="P23" i="1"/>
  <x:c r="R23" i="1"/>
  <x:c r="S23" i="1"/>
  <x:c r="H24" i="1"/>
  <x:c r="I24" i="1"/>
  <x:c r="J24" i="1"/>
  <x:c r="K24" i="1"/>
  <x:c r="L24" i="1"/>
  <x:c r="M24" i="1"/>
  <x:c r="N24" i="1"/>
  <x:c r="O24" i="1"/>
  <x:c r="P24" i="1"/>
  <x:c r="R24" i="1"/>
  <x:c r="S24" i="1"/>
  <x:c r="H25" i="1"/>
  <x:c r="I25" i="1"/>
  <x:c r="J25" i="1"/>
  <x:c r="K25" i="1"/>
  <x:c r="L25" i="1"/>
  <x:c r="M25" i="1"/>
  <x:c r="N25" i="1"/>
  <x:c r="O25" i="1"/>
  <x:c r="P25" i="1"/>
  <x:c r="R25" i="1"/>
  <x:c r="S25" i="1"/>
  <x:c r="H26" i="1"/>
  <x:c r="I26" i="1"/>
  <x:c r="J26" i="1"/>
  <x:c r="K26" i="1"/>
  <x:c r="L26" i="1"/>
  <x:c r="M26" i="1"/>
  <x:c r="N26" i="1"/>
  <x:c r="O26" i="1"/>
  <x:c r="P26" i="1"/>
  <x:c r="R26" i="1"/>
  <x:c r="S26" i="1"/>
  <x:c r="H27" i="1"/>
  <x:c r="I27" i="1"/>
  <x:c r="J27" i="1"/>
  <x:c r="K27" i="1"/>
  <x:c r="L27" i="1"/>
  <x:c r="M27" i="1"/>
  <x:c r="N27" i="1"/>
  <x:c r="O27" i="1"/>
  <x:c r="P27" i="1"/>
  <x:c r="R27" i="1"/>
  <x:c r="S27" i="1"/>
  <x:c r="H28" i="1"/>
  <x:c r="I28" i="1"/>
  <x:c r="J28" i="1"/>
  <x:c r="K28" i="1"/>
  <x:c r="L28" i="1"/>
  <x:c r="M28" i="1"/>
  <x:c r="N28" i="1"/>
  <x:c r="O28" i="1"/>
  <x:c r="P28" i="1"/>
  <x:c r="R28" i="1"/>
  <x:c r="S28" i="1"/>
  <x:c r="H29" i="1"/>
  <x:c r="I29" i="1"/>
  <x:c r="J29" i="1"/>
  <x:c r="K29" i="1"/>
  <x:c r="L29" i="1"/>
  <x:c r="M29" i="1"/>
  <x:c r="N29" i="1"/>
  <x:c r="O29" i="1"/>
  <x:c r="P29" i="1"/>
  <x:c r="R29" i="1"/>
  <x:c r="S29" i="1"/>
  <x:c r="H30" i="1"/>
  <x:c r="I30" i="1"/>
  <x:c r="J30" i="1"/>
  <x:c r="K30" i="1"/>
  <x:c r="L30" i="1"/>
  <x:c r="M30" i="1"/>
  <x:c r="N30" i="1"/>
  <x:c r="O30" i="1"/>
  <x:c r="P30" i="1"/>
  <x:c r="R30" i="1"/>
  <x:c r="S30" i="1"/>
  <x:c r="H31" i="1"/>
  <x:c r="I31" i="1"/>
  <x:c r="J31" i="1"/>
  <x:c r="K31" i="1"/>
  <x:c r="L31" i="1"/>
  <x:c r="M31" i="1"/>
  <x:c r="N31" i="1"/>
  <x:c r="O31" i="1"/>
  <x:c r="P31" i="1"/>
  <x:c r="R31" i="1"/>
  <x:c r="S31" i="1"/>
  <x:c r="H32" i="1"/>
  <x:c r="I32" i="1"/>
  <x:c r="J32" i="1"/>
  <x:c r="K32" i="1"/>
  <x:c r="L32" i="1"/>
  <x:c r="M32" i="1"/>
  <x:c r="N32" i="1"/>
  <x:c r="O32" i="1"/>
  <x:c r="P32" i="1"/>
  <x:c r="R32" i="1"/>
  <x:c r="S32" i="1"/>
  <x:c r="H33" i="1"/>
  <x:c r="I33" i="1"/>
  <x:c r="J33" i="1"/>
  <x:c r="K33" i="1"/>
  <x:c r="L33" i="1"/>
  <x:c r="M33" i="1"/>
  <x:c r="N33" i="1"/>
  <x:c r="O33" i="1"/>
  <x:c r="P33" i="1"/>
  <x:c r="R33" i="1"/>
  <x:c r="S33" i="1"/>
  <x:c r="H34" i="1"/>
  <x:c r="I34" i="1"/>
  <x:c r="J34" i="1"/>
  <x:c r="K34" i="1"/>
  <x:c r="L34" i="1"/>
  <x:c r="M34" i="1"/>
  <x:c r="N34" i="1"/>
  <x:c r="O34" i="1"/>
  <x:c r="P34" i="1"/>
  <x:c r="R34" i="1"/>
  <x:c r="S34" i="1"/>
  <x:c r="H35" i="1"/>
  <x:c r="I35" i="1"/>
  <x:c r="J35" i="1"/>
  <x:c r="K35" i="1"/>
  <x:c r="L35" i="1"/>
  <x:c r="M35" i="1"/>
  <x:c r="N35" i="1"/>
  <x:c r="O35" i="1"/>
  <x:c r="P35" i="1"/>
  <x:c r="R35" i="1"/>
  <x:c r="S35" i="1"/>
  <x:c r="H36" i="1"/>
  <x:c r="I36" i="1"/>
  <x:c r="J36" i="1"/>
  <x:c r="K36" i="1"/>
  <x:c r="L36" i="1"/>
  <x:c r="M36" i="1"/>
  <x:c r="N36" i="1"/>
  <x:c r="O36" i="1"/>
  <x:c r="P36" i="1"/>
  <x:c r="R36" i="1"/>
  <x:c r="S36" i="1"/>
  <x:c r="H37" i="1"/>
  <x:c r="I37" i="1"/>
  <x:c r="J37" i="1"/>
  <x:c r="K37" i="1"/>
  <x:c r="L37" i="1"/>
  <x:c r="M37" i="1"/>
  <x:c r="N37" i="1"/>
  <x:c r="O37" i="1"/>
  <x:c r="P37" i="1"/>
  <x:c r="R37" i="1"/>
  <x:c r="S37" i="1"/>
  <x:c r="H38" i="1"/>
  <x:c r="I38" i="1"/>
  <x:c r="J38" i="1"/>
  <x:c r="K38" i="1"/>
  <x:c r="L38" i="1"/>
  <x:c r="M38" i="1"/>
  <x:c r="N38" i="1"/>
  <x:c r="O38" i="1"/>
  <x:c r="P38" i="1"/>
  <x:c r="R38" i="1"/>
  <x:c r="S38" i="1"/>
  <x:c r="H39" i="1"/>
  <x:c r="I39" i="1"/>
  <x:c r="J39" i="1"/>
  <x:c r="K39" i="1"/>
  <x:c r="L39" i="1"/>
  <x:c r="M39" i="1"/>
  <x:c r="N39" i="1"/>
  <x:c r="O39" i="1"/>
  <x:c r="P39" i="1"/>
  <x:c r="R39" i="1"/>
  <x:c r="S39" i="1"/>
  <x:c r="H40" i="1"/>
  <x:c r="I40" i="1"/>
  <x:c r="J40" i="1"/>
  <x:c r="K40" i="1"/>
  <x:c r="L40" i="1"/>
  <x:c r="M40" i="1"/>
  <x:c r="N40" i="1"/>
  <x:c r="O40" i="1"/>
  <x:c r="P40" i="1"/>
  <x:c r="R40" i="1"/>
  <x:c r="S40" i="1"/>
  <x:c r="H41" i="1"/>
  <x:c r="I41" i="1"/>
  <x:c r="J41" i="1"/>
  <x:c r="K41" i="1"/>
  <x:c r="L41" i="1"/>
  <x:c r="M41" i="1"/>
  <x:c r="N41" i="1"/>
  <x:c r="O41" i="1"/>
  <x:c r="P41" i="1"/>
  <x:c r="R41" i="1"/>
  <x:c r="S41" i="1"/>
  <x:c r="H42" i="1"/>
  <x:c r="I42" i="1"/>
  <x:c r="J42" i="1"/>
  <x:c r="K42" i="1"/>
  <x:c r="L42" i="1"/>
  <x:c r="M42" i="1"/>
  <x:c r="N42" i="1"/>
  <x:c r="O42" i="1"/>
  <x:c r="P42" i="1"/>
  <x:c r="R42" i="1"/>
  <x:c r="S42" i="1"/>
  <x:c r="H43" i="1"/>
  <x:c r="I43" i="1"/>
  <x:c r="J43" i="1"/>
  <x:c r="K43" i="1"/>
  <x:c r="L43" i="1"/>
  <x:c r="M43" i="1"/>
  <x:c r="N43" i="1"/>
  <x:c r="O43" i="1"/>
  <x:c r="P43" i="1"/>
  <x:c r="R43" i="1"/>
  <x:c r="S43" i="1"/>
  <x:c r="H44" i="1"/>
  <x:c r="I44" i="1"/>
  <x:c r="J44" i="1"/>
  <x:c r="K44" i="1"/>
  <x:c r="L44" i="1"/>
  <x:c r="M44" i="1"/>
  <x:c r="N44" i="1"/>
  <x:c r="O44" i="1"/>
  <x:c r="P44" i="1"/>
  <x:c r="R44" i="1"/>
  <x:c r="S44" i="1"/>
  <x:c r="H45" i="1"/>
  <x:c r="I45" i="1"/>
  <x:c r="J45" i="1"/>
  <x:c r="K45" i="1"/>
  <x:c r="L45" i="1"/>
  <x:c r="M45" i="1"/>
  <x:c r="N45" i="1"/>
  <x:c r="O45" i="1"/>
  <x:c r="P45" i="1"/>
  <x:c r="R45" i="1"/>
  <x:c r="S45" i="1"/>
  <x:c r="H46" i="1"/>
  <x:c r="I46" i="1"/>
  <x:c r="J46" i="1"/>
  <x:c r="K46" i="1"/>
  <x:c r="L46" i="1"/>
  <x:c r="M46" i="1"/>
  <x:c r="N46" i="1"/>
  <x:c r="O46" i="1"/>
  <x:c r="P46" i="1"/>
  <x:c r="R46" i="1"/>
  <x:c r="S46" i="1"/>
  <x:c r="H47" i="1"/>
  <x:c r="I47" i="1"/>
  <x:c r="J47" i="1"/>
  <x:c r="K47" i="1"/>
  <x:c r="L47" i="1"/>
  <x:c r="M47" i="1"/>
  <x:c r="N47" i="1"/>
  <x:c r="O47" i="1"/>
  <x:c r="P47" i="1"/>
  <x:c r="R47" i="1"/>
  <x:c r="S47" i="1"/>
  <x:c r="H48" i="1"/>
  <x:c r="I48" i="1"/>
  <x:c r="J48" i="1"/>
  <x:c r="K48" i="1"/>
  <x:c r="L48" i="1"/>
  <x:c r="M48" i="1"/>
  <x:c r="N48" i="1"/>
  <x:c r="O48" i="1"/>
  <x:c r="P48" i="1"/>
  <x:c r="R48" i="1"/>
  <x:c r="S48" i="1"/>
  <x:c r="H49" i="1"/>
  <x:c r="I49" i="1"/>
  <x:c r="J49" i="1"/>
  <x:c r="K49" i="1"/>
  <x:c r="L49" i="1"/>
  <x:c r="M49" i="1"/>
  <x:c r="N49" i="1"/>
  <x:c r="O49" i="1"/>
  <x:c r="P49" i="1"/>
  <x:c r="R49" i="1"/>
  <x:c r="S49" i="1"/>
  <x:c r="H50" i="1"/>
  <x:c r="I50" i="1"/>
  <x:c r="J50" i="1"/>
  <x:c r="K50" i="1"/>
  <x:c r="L50" i="1"/>
  <x:c r="M50" i="1"/>
  <x:c r="N50" i="1"/>
  <x:c r="O50" i="1"/>
  <x:c r="P50" i="1"/>
  <x:c r="R50" i="1"/>
  <x:c r="S50" i="1"/>
  <x:c r="H51" i="1"/>
  <x:c r="I51" i="1"/>
  <x:c r="J51" i="1"/>
  <x:c r="K51" i="1"/>
  <x:c r="L51" i="1"/>
  <x:c r="M51" i="1"/>
  <x:c r="N51" i="1"/>
  <x:c r="O51" i="1"/>
  <x:c r="P51" i="1"/>
  <x:c r="R51" i="1"/>
  <x:c r="S51" i="1"/>
  <x:c r="H52" i="1"/>
  <x:c r="I52" i="1"/>
  <x:c r="J52" i="1"/>
  <x:c r="K52" i="1"/>
  <x:c r="L52" i="1"/>
  <x:c r="M52" i="1"/>
  <x:c r="N52" i="1"/>
  <x:c r="O52" i="1"/>
  <x:c r="P52" i="1"/>
  <x:c r="R52" i="1"/>
  <x:c r="S52" i="1"/>
  <x:c r="H53" i="1"/>
  <x:c r="I53" i="1"/>
  <x:c r="J53" i="1"/>
  <x:c r="K53" i="1"/>
  <x:c r="L53" i="1"/>
  <x:c r="M53" i="1"/>
  <x:c r="N53" i="1"/>
  <x:c r="O53" i="1"/>
  <x:c r="P53" i="1"/>
  <x:c r="R53" i="1"/>
  <x:c r="S53" i="1"/>
  <x:c r="H54" i="1"/>
  <x:c r="I54" i="1"/>
  <x:c r="J54" i="1"/>
  <x:c r="K54" i="1"/>
  <x:c r="L54" i="1"/>
  <x:c r="M54" i="1"/>
  <x:c r="N54" i="1"/>
  <x:c r="O54" i="1"/>
  <x:c r="P54" i="1"/>
  <x:c r="R54" i="1"/>
  <x:c r="S54" i="1"/>
  <x:c r="H55" i="1"/>
  <x:c r="I55" i="1"/>
  <x:c r="J55" i="1"/>
  <x:c r="K55" i="1"/>
  <x:c r="L55" i="1"/>
  <x:c r="M55" i="1"/>
  <x:c r="N55" i="1"/>
  <x:c r="O55" i="1"/>
  <x:c r="P55" i="1"/>
  <x:c r="R55" i="1"/>
  <x:c r="S55" i="1"/>
  <x:c r="H56" i="1"/>
  <x:c r="I56" i="1"/>
  <x:c r="J56" i="1"/>
  <x:c r="K56" i="1"/>
  <x:c r="L56" i="1"/>
  <x:c r="M56" i="1"/>
  <x:c r="N56" i="1"/>
  <x:c r="O56" i="1"/>
  <x:c r="P56" i="1"/>
  <x:c r="R56" i="1"/>
  <x:c r="S56" i="1"/>
  <x:c r="H57" i="1"/>
  <x:c r="I57" i="1"/>
  <x:c r="J57" i="1"/>
  <x:c r="K57" i="1"/>
  <x:c r="L57" i="1"/>
  <x:c r="M57" i="1"/>
  <x:c r="N57" i="1"/>
  <x:c r="O57" i="1"/>
  <x:c r="P57" i="1"/>
  <x:c r="R57" i="1"/>
  <x:c r="S57" i="1"/>
  <x:c r="H58" i="1"/>
  <x:c r="I58" i="1"/>
  <x:c r="J58" i="1"/>
  <x:c r="K58" i="1"/>
  <x:c r="L58" i="1"/>
  <x:c r="M58" i="1"/>
  <x:c r="N58" i="1"/>
  <x:c r="O58" i="1"/>
  <x:c r="P58" i="1"/>
  <x:c r="R58" i="1"/>
  <x:c r="S58" i="1"/>
  <x:c r="H59" i="1"/>
  <x:c r="I59" i="1"/>
  <x:c r="J59" i="1"/>
  <x:c r="K59" i="1"/>
  <x:c r="L59" i="1"/>
  <x:c r="M59" i="1"/>
  <x:c r="N59" i="1"/>
  <x:c r="O59" i="1"/>
  <x:c r="P59" i="1"/>
  <x:c r="R59" i="1"/>
  <x:c r="S59" i="1"/>
  <x:c r="H60" i="1"/>
  <x:c r="I60" i="1"/>
  <x:c r="J60" i="1"/>
  <x:c r="K60" i="1"/>
  <x:c r="L60" i="1"/>
  <x:c r="M60" i="1"/>
  <x:c r="N60" i="1"/>
  <x:c r="O60" i="1"/>
  <x:c r="P60" i="1"/>
  <x:c r="R60" i="1"/>
  <x:c r="S60" i="1"/>
  <x:c r="H61" i="1"/>
  <x:c r="I61" i="1"/>
  <x:c r="J61" i="1"/>
  <x:c r="K61" i="1"/>
  <x:c r="L61" i="1"/>
  <x:c r="M61" i="1"/>
  <x:c r="N61" i="1"/>
  <x:c r="O61" i="1"/>
  <x:c r="P61" i="1"/>
  <x:c r="R61" i="1"/>
  <x:c r="S61" i="1"/>
  <x:c r="H62" i="1"/>
  <x:c r="I62" i="1"/>
  <x:c r="J62" i="1"/>
  <x:c r="K62" i="1"/>
  <x:c r="L62" i="1"/>
  <x:c r="M62" i="1"/>
  <x:c r="N62" i="1"/>
  <x:c r="O62" i="1"/>
  <x:c r="P62" i="1"/>
  <x:c r="R62" i="1"/>
  <x:c r="S62" i="1"/>
  <x:c r="H63" i="1"/>
  <x:c r="I63" i="1"/>
  <x:c r="J63" i="1"/>
  <x:c r="K63" i="1"/>
  <x:c r="L63" i="1"/>
  <x:c r="M63" i="1"/>
  <x:c r="N63" i="1"/>
  <x:c r="O63" i="1"/>
  <x:c r="P63" i="1"/>
  <x:c r="R63" i="1"/>
  <x:c r="S63" i="1"/>
  <x:c r="H64" i="1"/>
  <x:c r="I64" i="1"/>
  <x:c r="J64" i="1"/>
  <x:c r="K64" i="1"/>
  <x:c r="L64" i="1"/>
  <x:c r="M64" i="1"/>
  <x:c r="N64" i="1"/>
  <x:c r="O64" i="1"/>
  <x:c r="P64" i="1"/>
  <x:c r="R64" i="1"/>
  <x:c r="S64" i="1"/>
  <x:c r="H65" i="1"/>
  <x:c r="I65" i="1"/>
  <x:c r="J65" i="1"/>
  <x:c r="K65" i="1"/>
  <x:c r="L65" i="1"/>
  <x:c r="M65" i="1"/>
  <x:c r="N65" i="1"/>
  <x:c r="O65" i="1"/>
  <x:c r="P65" i="1"/>
  <x:c r="R65" i="1"/>
  <x:c r="S65" i="1"/>
  <x:c r="H66" i="1"/>
  <x:c r="I66" i="1"/>
  <x:c r="J66" i="1"/>
  <x:c r="K66" i="1"/>
  <x:c r="L66" i="1"/>
  <x:c r="M66" i="1"/>
  <x:c r="N66" i="1"/>
  <x:c r="O66" i="1"/>
  <x:c r="P66" i="1"/>
  <x:c r="R66" i="1"/>
  <x:c r="S66" i="1"/>
  <x:c r="H67" i="1"/>
  <x:c r="I67" i="1"/>
  <x:c r="J67" i="1"/>
  <x:c r="K67" i="1"/>
  <x:c r="L67" i="1"/>
  <x:c r="M67" i="1"/>
  <x:c r="N67" i="1"/>
  <x:c r="O67" i="1"/>
  <x:c r="P67" i="1"/>
  <x:c r="R67" i="1"/>
  <x:c r="S67" i="1"/>
  <x:c r="H68" i="1"/>
  <x:c r="I68" i="1"/>
  <x:c r="J68" i="1"/>
  <x:c r="K68" i="1"/>
  <x:c r="L68" i="1"/>
  <x:c r="M68" i="1"/>
  <x:c r="N68" i="1"/>
  <x:c r="O68" i="1"/>
  <x:c r="P68" i="1"/>
  <x:c r="R68" i="1"/>
  <x:c r="S68" i="1"/>
  <x:c r="H69" i="1"/>
  <x:c r="I69" i="1"/>
  <x:c r="J69" i="1"/>
  <x:c r="K69" i="1"/>
  <x:c r="L69" i="1"/>
  <x:c r="M69" i="1"/>
  <x:c r="N69" i="1"/>
  <x:c r="O69" i="1"/>
  <x:c r="P69" i="1"/>
  <x:c r="R69" i="1"/>
  <x:c r="S69" i="1"/>
  <x:c r="H70" i="1"/>
  <x:c r="I70" i="1"/>
  <x:c r="J70" i="1"/>
  <x:c r="K70" i="1"/>
  <x:c r="L70" i="1"/>
  <x:c r="M70" i="1"/>
  <x:c r="N70" i="1"/>
  <x:c r="O70" i="1"/>
  <x:c r="P70" i="1"/>
  <x:c r="R70" i="1"/>
  <x:c r="S70" i="1"/>
  <x:c r="H71" i="1"/>
  <x:c r="I71" i="1"/>
  <x:c r="J71" i="1"/>
  <x:c r="K71" i="1"/>
  <x:c r="L71" i="1"/>
  <x:c r="M71" i="1"/>
  <x:c r="N71" i="1"/>
  <x:c r="O71" i="1"/>
  <x:c r="P71" i="1"/>
  <x:c r="R71" i="1"/>
  <x:c r="S71" i="1"/>
  <x:c r="H72" i="1"/>
  <x:c r="I72" i="1"/>
  <x:c r="J72" i="1"/>
  <x:c r="K72" i="1"/>
  <x:c r="L72" i="1"/>
  <x:c r="M72" i="1"/>
  <x:c r="N72" i="1"/>
  <x:c r="O72" i="1"/>
  <x:c r="P72" i="1"/>
  <x:c r="R72" i="1"/>
  <x:c r="S72" i="1"/>
  <x:c r="H73" i="1"/>
  <x:c r="I73" i="1"/>
  <x:c r="J73" i="1"/>
  <x:c r="K73" i="1"/>
  <x:c r="L73" i="1"/>
  <x:c r="M73" i="1"/>
  <x:c r="N73" i="1"/>
  <x:c r="O73" i="1"/>
  <x:c r="P73" i="1"/>
  <x:c r="R73" i="1"/>
  <x:c r="S73" i="1"/>
  <x:c r="H74" i="1"/>
  <x:c r="I74" i="1"/>
  <x:c r="J74" i="1"/>
  <x:c r="K74" i="1"/>
  <x:c r="L74" i="1"/>
  <x:c r="M74" i="1"/>
  <x:c r="N74" i="1"/>
  <x:c r="O74" i="1"/>
  <x:c r="P74" i="1"/>
  <x:c r="R74" i="1"/>
  <x:c r="S74" i="1"/>
  <x:c r="H75" i="1"/>
  <x:c r="I75" i="1"/>
  <x:c r="J75" i="1"/>
  <x:c r="K75" i="1"/>
  <x:c r="L75" i="1"/>
  <x:c r="M75" i="1"/>
  <x:c r="N75" i="1"/>
  <x:c r="O75" i="1"/>
  <x:c r="P75" i="1"/>
  <x:c r="R75" i="1"/>
  <x:c r="S75" i="1"/>
  <x:c r="H76" i="1"/>
  <x:c r="I76" i="1"/>
  <x:c r="J76" i="1"/>
  <x:c r="K76" i="1"/>
  <x:c r="L76" i="1"/>
  <x:c r="M76" i="1"/>
  <x:c r="N76" i="1"/>
  <x:c r="O76" i="1"/>
  <x:c r="P76" i="1"/>
  <x:c r="R76" i="1"/>
  <x:c r="S76" i="1"/>
  <x:c r="H77" i="1"/>
  <x:c r="I77" i="1"/>
  <x:c r="J77" i="1"/>
  <x:c r="K77" i="1"/>
  <x:c r="L77" i="1"/>
  <x:c r="M77" i="1"/>
  <x:c r="N77" i="1"/>
  <x:c r="O77" i="1"/>
  <x:c r="P77" i="1"/>
  <x:c r="R77" i="1"/>
  <x:c r="S77" i="1"/>
  <x:c r="H78" i="1"/>
  <x:c r="I78" i="1"/>
  <x:c r="J78" i="1"/>
  <x:c r="K78" i="1"/>
  <x:c r="L78" i="1"/>
  <x:c r="M78" i="1"/>
  <x:c r="N78" i="1"/>
  <x:c r="O78" i="1"/>
  <x:c r="P78" i="1"/>
  <x:c r="R78" i="1"/>
  <x:c r="S78" i="1"/>
  <x:c r="H79" i="1"/>
  <x:c r="I79" i="1"/>
  <x:c r="J79" i="1"/>
  <x:c r="K79" i="1"/>
  <x:c r="L79" i="1"/>
  <x:c r="M79" i="1"/>
  <x:c r="N79" i="1"/>
  <x:c r="O79" i="1"/>
  <x:c r="P79" i="1"/>
  <x:c r="R79" i="1"/>
  <x:c r="S79" i="1"/>
  <x:c r="H80" i="1"/>
  <x:c r="I80" i="1"/>
  <x:c r="J80" i="1"/>
  <x:c r="K80" i="1"/>
  <x:c r="L80" i="1"/>
  <x:c r="M80" i="1"/>
  <x:c r="N80" i="1"/>
  <x:c r="O80" i="1"/>
  <x:c r="P80" i="1"/>
  <x:c r="R80" i="1"/>
  <x:c r="S80" i="1"/>
  <x:c r="H81" i="1"/>
  <x:c r="I81" i="1"/>
  <x:c r="J81" i="1"/>
  <x:c r="K81" i="1"/>
  <x:c r="L81" i="1"/>
  <x:c r="M81" i="1"/>
  <x:c r="N81" i="1"/>
  <x:c r="O81" i="1"/>
  <x:c r="P81" i="1"/>
  <x:c r="R81" i="1"/>
  <x:c r="S81" i="1"/>
  <x:c r="H82" i="1"/>
  <x:c r="I82" i="1"/>
  <x:c r="J82" i="1"/>
  <x:c r="K82" i="1"/>
  <x:c r="L82" i="1"/>
  <x:c r="M82" i="1"/>
  <x:c r="N82" i="1"/>
  <x:c r="O82" i="1"/>
  <x:c r="P82" i="1"/>
  <x:c r="R82" i="1"/>
  <x:c r="S82" i="1"/>
  <x:c r="H83" i="1"/>
  <x:c r="I83" i="1"/>
  <x:c r="J83" i="1"/>
  <x:c r="K83" i="1"/>
  <x:c r="L83" i="1"/>
  <x:c r="M83" i="1"/>
  <x:c r="N83" i="1"/>
  <x:c r="O83" i="1"/>
  <x:c r="P83" i="1"/>
  <x:c r="R83" i="1"/>
  <x:c r="S83" i="1"/>
  <x:c r="H84" i="1"/>
  <x:c r="I84" i="1"/>
  <x:c r="J84" i="1"/>
  <x:c r="K84" i="1"/>
  <x:c r="L84" i="1"/>
  <x:c r="M84" i="1"/>
  <x:c r="N84" i="1"/>
  <x:c r="O84" i="1"/>
  <x:c r="P84" i="1"/>
  <x:c r="R84" i="1"/>
  <x:c r="S84" i="1"/>
  <x:c r="H85" i="1"/>
  <x:c r="I85" i="1"/>
  <x:c r="J85" i="1"/>
  <x:c r="K85" i="1"/>
  <x:c r="L85" i="1"/>
  <x:c r="M85" i="1"/>
  <x:c r="N85" i="1"/>
  <x:c r="O85" i="1"/>
  <x:c r="P85" i="1"/>
  <x:c r="R85" i="1"/>
  <x:c r="S85" i="1"/>
  <x:c r="H86" i="1"/>
  <x:c r="I86" i="1"/>
  <x:c r="J86" i="1"/>
  <x:c r="K86" i="1"/>
  <x:c r="L86" i="1"/>
  <x:c r="M86" i="1"/>
  <x:c r="N86" i="1"/>
  <x:c r="O86" i="1"/>
  <x:c r="P86" i="1"/>
  <x:c r="R86" i="1"/>
  <x:c r="S86" i="1"/>
  <x:c r="H87" i="1"/>
  <x:c r="I87" i="1"/>
  <x:c r="J87" i="1"/>
  <x:c r="K87" i="1"/>
  <x:c r="L87" i="1"/>
  <x:c r="M87" i="1"/>
  <x:c r="N87" i="1"/>
  <x:c r="O87" i="1"/>
  <x:c r="P87" i="1"/>
  <x:c r="R87" i="1"/>
  <x:c r="S87" i="1"/>
  <x:c r="H88" i="1"/>
  <x:c r="I88" i="1"/>
  <x:c r="J88" i="1"/>
  <x:c r="K88" i="1"/>
  <x:c r="L88" i="1"/>
  <x:c r="M88" i="1"/>
  <x:c r="N88" i="1"/>
  <x:c r="O88" i="1"/>
  <x:c r="P88" i="1"/>
  <x:c r="R88" i="1"/>
  <x:c r="S88" i="1"/>
  <x:c r="H89" i="1"/>
  <x:c r="I89" i="1"/>
  <x:c r="J89" i="1"/>
  <x:c r="K89" i="1"/>
  <x:c r="L89" i="1"/>
  <x:c r="M89" i="1"/>
  <x:c r="N89" i="1"/>
  <x:c r="O89" i="1"/>
  <x:c r="P89" i="1"/>
  <x:c r="R89" i="1"/>
  <x:c r="S89" i="1"/>
  <x:c r="H90" i="1"/>
  <x:c r="I90" i="1"/>
  <x:c r="J90" i="1"/>
  <x:c r="K90" i="1"/>
  <x:c r="L90" i="1"/>
  <x:c r="M90" i="1"/>
  <x:c r="N90" i="1"/>
  <x:c r="O90" i="1"/>
  <x:c r="P90" i="1"/>
  <x:c r="R90" i="1"/>
  <x:c r="S90" i="1"/>
  <x:c r="H91" i="1"/>
  <x:c r="I91" i="1"/>
  <x:c r="J91" i="1"/>
  <x:c r="K91" i="1"/>
  <x:c r="L91" i="1"/>
  <x:c r="M91" i="1"/>
  <x:c r="N91" i="1"/>
  <x:c r="O91" i="1"/>
  <x:c r="P91" i="1"/>
  <x:c r="R91" i="1"/>
  <x:c r="S91" i="1"/>
  <x:c r="H92" i="1"/>
  <x:c r="I92" i="1"/>
  <x:c r="J92" i="1"/>
  <x:c r="K92" i="1"/>
  <x:c r="L92" i="1"/>
  <x:c r="M92" i="1"/>
  <x:c r="N92" i="1"/>
  <x:c r="O92" i="1"/>
  <x:c r="P92" i="1"/>
  <x:c r="R92" i="1"/>
  <x:c r="S92" i="1"/>
  <x:c r="H93" i="1"/>
  <x:c r="I93" i="1"/>
  <x:c r="J93" i="1"/>
  <x:c r="K93" i="1"/>
  <x:c r="L93" i="1"/>
  <x:c r="M93" i="1"/>
  <x:c r="N93" i="1"/>
  <x:c r="O93" i="1"/>
  <x:c r="P93" i="1"/>
  <x:c r="R93" i="1"/>
  <x:c r="S93" i="1"/>
  <x:c r="H94" i="1"/>
  <x:c r="I94" i="1"/>
  <x:c r="J94" i="1"/>
  <x:c r="K94" i="1"/>
  <x:c r="L94" i="1"/>
  <x:c r="M94" i="1"/>
  <x:c r="N94" i="1"/>
  <x:c r="O94" i="1"/>
  <x:c r="P94" i="1"/>
  <x:c r="R94" i="1"/>
  <x:c r="S94" i="1"/>
  <x:c r="H95" i="1"/>
  <x:c r="I95" i="1"/>
  <x:c r="J95" i="1"/>
  <x:c r="K95" i="1"/>
  <x:c r="L95" i="1"/>
  <x:c r="M95" i="1"/>
  <x:c r="N95" i="1"/>
  <x:c r="O95" i="1"/>
  <x:c r="P95" i="1"/>
  <x:c r="R95" i="1"/>
  <x:c r="S95" i="1"/>
  <x:c r="H96" i="1"/>
  <x:c r="I96" i="1"/>
  <x:c r="J96" i="1"/>
  <x:c r="K96" i="1"/>
  <x:c r="L96" i="1"/>
  <x:c r="M96" i="1"/>
  <x:c r="N96" i="1"/>
  <x:c r="O96" i="1"/>
  <x:c r="P96" i="1"/>
  <x:c r="R96" i="1"/>
  <x:c r="S96" i="1"/>
  <x:c r="H97" i="1"/>
  <x:c r="I97" i="1"/>
  <x:c r="J97" i="1"/>
  <x:c r="K97" i="1"/>
  <x:c r="L97" i="1"/>
  <x:c r="M97" i="1"/>
  <x:c r="N97" i="1"/>
  <x:c r="O97" i="1"/>
  <x:c r="P97" i="1"/>
  <x:c r="R97" i="1"/>
  <x:c r="S97" i="1"/>
  <x:c r="H98" i="1"/>
  <x:c r="I98" i="1"/>
  <x:c r="J98" i="1"/>
  <x:c r="K98" i="1"/>
  <x:c r="L98" i="1"/>
  <x:c r="M98" i="1"/>
  <x:c r="N98" i="1"/>
  <x:c r="O98" i="1"/>
  <x:c r="P98" i="1"/>
  <x:c r="R98" i="1"/>
  <x:c r="S98" i="1"/>
  <x:c r="H99" i="1"/>
  <x:c r="I99" i="1"/>
  <x:c r="J99" i="1"/>
  <x:c r="K99" i="1"/>
  <x:c r="L99" i="1"/>
  <x:c r="M99" i="1"/>
  <x:c r="N99" i="1"/>
  <x:c r="O99" i="1"/>
  <x:c r="P99" i="1"/>
  <x:c r="R99" i="1"/>
  <x:c r="S99" i="1"/>
  <x:c r="H100" i="1"/>
  <x:c r="I100" i="1"/>
  <x:c r="J100" i="1"/>
  <x:c r="K100" i="1"/>
  <x:c r="L100" i="1"/>
  <x:c r="M100" i="1"/>
  <x:c r="N100" i="1"/>
  <x:c r="O100" i="1"/>
  <x:c r="P100" i="1"/>
  <x:c r="R100" i="1"/>
  <x:c r="S100" i="1"/>
  <x:c r="H101" i="1"/>
  <x:c r="I101" i="1"/>
  <x:c r="J101" i="1"/>
  <x:c r="K101" i="1"/>
  <x:c r="L101" i="1"/>
  <x:c r="M101" i="1"/>
  <x:c r="N101" i="1"/>
  <x:c r="O101" i="1"/>
  <x:c r="P101" i="1"/>
  <x:c r="R101" i="1"/>
  <x:c r="S101" i="1"/>
  <x:c r="H102" i="1"/>
  <x:c r="I102" i="1"/>
  <x:c r="J102" i="1"/>
  <x:c r="K102" i="1"/>
  <x:c r="L102" i="1"/>
  <x:c r="M102" i="1"/>
  <x:c r="N102" i="1"/>
  <x:c r="O102" i="1"/>
  <x:c r="P102" i="1"/>
  <x:c r="R102" i="1"/>
  <x:c r="S102" i="1"/>
  <x:c r="H103" i="1"/>
  <x:c r="I103" i="1"/>
  <x:c r="J103" i="1"/>
  <x:c r="K103" i="1"/>
  <x:c r="L103" i="1"/>
  <x:c r="M103" i="1"/>
  <x:c r="N103" i="1"/>
  <x:c r="O103" i="1"/>
  <x:c r="P103" i="1"/>
  <x:c r="R103" i="1"/>
  <x:c r="S103" i="1"/>
  <x:c r="H104" i="1"/>
  <x:c r="I104" i="1"/>
  <x:c r="J104" i="1"/>
  <x:c r="K104" i="1"/>
  <x:c r="L104" i="1"/>
  <x:c r="M104" i="1"/>
  <x:c r="N104" i="1"/>
  <x:c r="O104" i="1"/>
  <x:c r="P104" i="1"/>
  <x:c r="R104" i="1"/>
  <x:c r="S104" i="1"/>
  <x:c r="H105" i="1"/>
  <x:c r="I105" i="1"/>
  <x:c r="J105" i="1"/>
  <x:c r="K105" i="1"/>
  <x:c r="L105" i="1"/>
  <x:c r="M105" i="1"/>
  <x:c r="N105" i="1"/>
  <x:c r="O105" i="1"/>
  <x:c r="P105" i="1"/>
  <x:c r="R105" i="1"/>
  <x:c r="S105" i="1"/>
  <x:c r="H106" i="1"/>
  <x:c r="I106" i="1"/>
  <x:c r="J106" i="1"/>
  <x:c r="K106" i="1"/>
  <x:c r="L106" i="1"/>
  <x:c r="M106" i="1"/>
  <x:c r="N106" i="1"/>
  <x:c r="O106" i="1"/>
  <x:c r="P106" i="1"/>
  <x:c r="R106" i="1"/>
  <x:c r="S106" i="1"/>
  <x:c r="H107" i="1"/>
  <x:c r="I107" i="1"/>
  <x:c r="J107" i="1"/>
  <x:c r="K107" i="1"/>
  <x:c r="L107" i="1"/>
  <x:c r="M107" i="1"/>
  <x:c r="N107" i="1"/>
  <x:c r="O107" i="1"/>
  <x:c r="P107" i="1"/>
  <x:c r="R107" i="1"/>
  <x:c r="S107" i="1"/>
  <x:c r="H108" i="1"/>
  <x:c r="I108" i="1"/>
  <x:c r="J108" i="1"/>
  <x:c r="K108" i="1"/>
  <x:c r="L108" i="1"/>
  <x:c r="M108" i="1"/>
  <x:c r="N108" i="1"/>
  <x:c r="O108" i="1"/>
  <x:c r="P108" i="1"/>
  <x:c r="R108" i="1"/>
  <x:c r="S108" i="1"/>
  <x:c r="H109" i="1"/>
  <x:c r="I109" i="1"/>
  <x:c r="J109" i="1"/>
  <x:c r="K109" i="1"/>
  <x:c r="L109" i="1"/>
  <x:c r="M109" i="1"/>
  <x:c r="N109" i="1"/>
  <x:c r="O109" i="1"/>
  <x:c r="P109" i="1"/>
  <x:c r="R109" i="1"/>
  <x:c r="S109" i="1"/>
  <x:c r="H110" i="1"/>
  <x:c r="I110" i="1"/>
  <x:c r="J110" i="1"/>
  <x:c r="K110" i="1"/>
  <x:c r="L110" i="1"/>
  <x:c r="M110" i="1"/>
  <x:c r="N110" i="1"/>
  <x:c r="O110" i="1"/>
  <x:c r="P110" i="1"/>
  <x:c r="R110" i="1"/>
  <x:c r="S110" i="1"/>
  <x:c r="H111" i="1"/>
  <x:c r="I111" i="1"/>
  <x:c r="J111" i="1"/>
  <x:c r="K111" i="1"/>
  <x:c r="L111" i="1"/>
  <x:c r="M111" i="1"/>
  <x:c r="N111" i="1"/>
  <x:c r="O111" i="1"/>
  <x:c r="P111" i="1"/>
  <x:c r="R111" i="1"/>
  <x:c r="S111" i="1"/>
  <x:c r="H112" i="1"/>
  <x:c r="I112" i="1"/>
  <x:c r="J112" i="1"/>
  <x:c r="K112" i="1"/>
  <x:c r="L112" i="1"/>
  <x:c r="M112" i="1"/>
  <x:c r="N112" i="1"/>
  <x:c r="O112" i="1"/>
  <x:c r="P112" i="1"/>
  <x:c r="R112" i="1"/>
  <x:c r="S112" i="1"/>
  <x:c r="H113" i="1"/>
  <x:c r="I113" i="1"/>
  <x:c r="J113" i="1"/>
  <x:c r="K113" i="1"/>
  <x:c r="L113" i="1"/>
  <x:c r="M113" i="1"/>
  <x:c r="N113" i="1"/>
  <x:c r="O113" i="1"/>
  <x:c r="P113" i="1"/>
  <x:c r="R113" i="1"/>
  <x:c r="S113" i="1"/>
  <x:c r="H114" i="1"/>
  <x:c r="I114" i="1"/>
  <x:c r="J114" i="1"/>
  <x:c r="K114" i="1"/>
  <x:c r="L114" i="1"/>
  <x:c r="M114" i="1"/>
  <x:c r="N114" i="1"/>
  <x:c r="O114" i="1"/>
  <x:c r="P114" i="1"/>
  <x:c r="R114" i="1"/>
  <x:c r="S114" i="1"/>
  <x:c r="H115" i="1"/>
  <x:c r="I115" i="1"/>
  <x:c r="J115" i="1"/>
  <x:c r="K115" i="1"/>
  <x:c r="L115" i="1"/>
  <x:c r="M115" i="1"/>
  <x:c r="N115" i="1"/>
  <x:c r="O115" i="1"/>
  <x:c r="P115" i="1"/>
  <x:c r="R115" i="1"/>
  <x:c r="S115" i="1"/>
  <x:c r="H116" i="1"/>
  <x:c r="I116" i="1"/>
  <x:c r="J116" i="1"/>
  <x:c r="K116" i="1"/>
  <x:c r="L116" i="1"/>
  <x:c r="M116" i="1"/>
  <x:c r="N116" i="1"/>
  <x:c r="O116" i="1"/>
  <x:c r="P116" i="1"/>
  <x:c r="R116" i="1"/>
  <x:c r="S116" i="1"/>
  <x:c r="H117" i="1"/>
  <x:c r="I117" i="1"/>
  <x:c r="J117" i="1"/>
  <x:c r="K117" i="1"/>
  <x:c r="L117" i="1"/>
  <x:c r="M117" i="1"/>
  <x:c r="N117" i="1"/>
  <x:c r="O117" i="1"/>
  <x:c r="P117" i="1"/>
  <x:c r="R117" i="1"/>
  <x:c r="S117" i="1"/>
  <x:c r="H118" i="1"/>
  <x:c r="I118" i="1"/>
  <x:c r="J118" i="1"/>
  <x:c r="K118" i="1"/>
  <x:c r="L118" i="1"/>
  <x:c r="M118" i="1"/>
  <x:c r="N118" i="1"/>
  <x:c r="O118" i="1"/>
  <x:c r="P118" i="1"/>
  <x:c r="R118" i="1"/>
  <x:c r="S118" i="1"/>
  <x:c r="H119" i="1"/>
  <x:c r="I119" i="1"/>
  <x:c r="J119" i="1"/>
  <x:c r="K119" i="1"/>
  <x:c r="L119" i="1"/>
  <x:c r="M119" i="1"/>
  <x:c r="N119" i="1"/>
  <x:c r="O119" i="1"/>
  <x:c r="P119" i="1"/>
  <x:c r="R119" i="1"/>
  <x:c r="S119" i="1"/>
  <x:c r="H120" i="1"/>
  <x:c r="I120" i="1"/>
  <x:c r="J120" i="1"/>
  <x:c r="K120" i="1"/>
  <x:c r="L120" i="1"/>
  <x:c r="M120" i="1"/>
  <x:c r="N120" i="1"/>
  <x:c r="O120" i="1"/>
  <x:c r="P120" i="1"/>
  <x:c r="R120" i="1"/>
  <x:c r="S120" i="1"/>
  <x:c r="H121" i="1"/>
  <x:c r="I121" i="1"/>
  <x:c r="J121" i="1"/>
  <x:c r="K121" i="1"/>
  <x:c r="L121" i="1"/>
  <x:c r="M121" i="1"/>
  <x:c r="N121" i="1"/>
  <x:c r="O121" i="1"/>
  <x:c r="P121" i="1"/>
  <x:c r="R121" i="1"/>
  <x:c r="S121" i="1"/>
  <x:c r="H122" i="1"/>
  <x:c r="I122" i="1"/>
  <x:c r="J122" i="1"/>
  <x:c r="K122" i="1"/>
  <x:c r="L122" i="1"/>
  <x:c r="M122" i="1"/>
  <x:c r="N122" i="1"/>
  <x:c r="O122" i="1"/>
  <x:c r="P122" i="1"/>
  <x:c r="R122" i="1"/>
  <x:c r="S122" i="1"/>
  <x:c r="H123" i="1"/>
  <x:c r="I123" i="1"/>
  <x:c r="J123" i="1"/>
  <x:c r="K123" i="1"/>
  <x:c r="L123" i="1"/>
  <x:c r="M123" i="1"/>
  <x:c r="N123" i="1"/>
  <x:c r="O123" i="1"/>
  <x:c r="P123" i="1"/>
  <x:c r="R123" i="1"/>
  <x:c r="S123" i="1"/>
  <x:c r="H124" i="1"/>
  <x:c r="I124" i="1"/>
  <x:c r="J124" i="1"/>
  <x:c r="K124" i="1"/>
  <x:c r="L124" i="1"/>
  <x:c r="M124" i="1"/>
  <x:c r="N124" i="1"/>
  <x:c r="O124" i="1"/>
  <x:c r="P124" i="1"/>
  <x:c r="R124" i="1"/>
  <x:c r="S124" i="1"/>
  <x:c r="H125" i="1"/>
  <x:c r="I125" i="1"/>
  <x:c r="J125" i="1"/>
  <x:c r="K125" i="1"/>
  <x:c r="L125" i="1"/>
  <x:c r="M125" i="1"/>
  <x:c r="N125" i="1"/>
  <x:c r="O125" i="1"/>
  <x:c r="P125" i="1"/>
  <x:c r="R125" i="1"/>
  <x:c r="S125" i="1"/>
  <x:c r="H126" i="1"/>
  <x:c r="I126" i="1"/>
  <x:c r="J126" i="1"/>
  <x:c r="K126" i="1"/>
  <x:c r="L126" i="1"/>
  <x:c r="M126" i="1"/>
  <x:c r="N126" i="1"/>
  <x:c r="O126" i="1"/>
  <x:c r="P126" i="1"/>
  <x:c r="R126" i="1"/>
  <x:c r="S126" i="1"/>
  <x:c r="H127" i="1"/>
  <x:c r="I127" i="1"/>
  <x:c r="J127" i="1"/>
  <x:c r="K127" i="1"/>
  <x:c r="L127" i="1"/>
  <x:c r="M127" i="1"/>
  <x:c r="N127" i="1"/>
  <x:c r="O127" i="1"/>
  <x:c r="P127" i="1"/>
  <x:c r="R127" i="1"/>
  <x:c r="S127" i="1"/>
  <x:c r="H128" i="1"/>
  <x:c r="I128" i="1"/>
  <x:c r="J128" i="1"/>
  <x:c r="K128" i="1"/>
  <x:c r="L128" i="1"/>
  <x:c r="M128" i="1"/>
  <x:c r="N128" i="1"/>
  <x:c r="O128" i="1"/>
  <x:c r="P128" i="1"/>
  <x:c r="R128" i="1"/>
  <x:c r="S128" i="1"/>
  <x:c r="H129" i="1"/>
  <x:c r="I129" i="1"/>
  <x:c r="J129" i="1"/>
  <x:c r="K129" i="1"/>
  <x:c r="L129" i="1"/>
  <x:c r="M129" i="1"/>
  <x:c r="N129" i="1"/>
  <x:c r="O129" i="1"/>
  <x:c r="P129" i="1"/>
  <x:c r="R129" i="1"/>
  <x:c r="S129" i="1"/>
  <x:c r="H130" i="1"/>
  <x:c r="I130" i="1"/>
  <x:c r="J130" i="1"/>
  <x:c r="K130" i="1"/>
  <x:c r="L130" i="1"/>
  <x:c r="M130" i="1"/>
  <x:c r="N130" i="1"/>
  <x:c r="O130" i="1"/>
  <x:c r="P130" i="1"/>
  <x:c r="R130" i="1"/>
  <x:c r="S130" i="1"/>
  <x:c r="H131" i="1"/>
  <x:c r="I131" i="1"/>
  <x:c r="J131" i="1"/>
  <x:c r="K131" i="1"/>
  <x:c r="L131" i="1"/>
  <x:c r="M131" i="1"/>
  <x:c r="N131" i="1"/>
  <x:c r="O131" i="1"/>
  <x:c r="P131" i="1"/>
  <x:c r="R131" i="1"/>
  <x:c r="S131" i="1"/>
  <x:c r="H132" i="1"/>
  <x:c r="I132" i="1"/>
  <x:c r="J132" i="1"/>
  <x:c r="K132" i="1"/>
  <x:c r="L132" i="1"/>
  <x:c r="M132" i="1"/>
  <x:c r="N132" i="1"/>
  <x:c r="O132" i="1"/>
  <x:c r="P132" i="1"/>
  <x:c r="R132" i="1"/>
  <x:c r="S132" i="1"/>
  <x:c r="H133" i="1"/>
  <x:c r="I133" i="1"/>
  <x:c r="J133" i="1"/>
  <x:c r="K133" i="1"/>
  <x:c r="L133" i="1"/>
  <x:c r="M133" i="1"/>
  <x:c r="N133" i="1"/>
  <x:c r="O133" i="1"/>
  <x:c r="P133" i="1"/>
  <x:c r="R133" i="1"/>
  <x:c r="S133" i="1"/>
  <x:c r="H134" i="1"/>
  <x:c r="I134" i="1"/>
  <x:c r="J134" i="1"/>
  <x:c r="K134" i="1"/>
  <x:c r="L134" i="1"/>
  <x:c r="M134" i="1"/>
  <x:c r="N134" i="1"/>
  <x:c r="O134" i="1"/>
  <x:c r="P134" i="1"/>
  <x:c r="R134" i="1"/>
  <x:c r="S134" i="1"/>
  <x:c r="H135" i="1"/>
  <x:c r="I135" i="1"/>
  <x:c r="J135" i="1"/>
  <x:c r="K135" i="1"/>
  <x:c r="L135" i="1"/>
  <x:c r="M135" i="1"/>
  <x:c r="N135" i="1"/>
  <x:c r="O135" i="1"/>
  <x:c r="P135" i="1"/>
  <x:c r="R135" i="1"/>
  <x:c r="S135" i="1"/>
  <x:c r="H136" i="1"/>
  <x:c r="I136" i="1"/>
  <x:c r="J136" i="1"/>
  <x:c r="K136" i="1"/>
  <x:c r="L136" i="1"/>
  <x:c r="M136" i="1"/>
  <x:c r="N136" i="1"/>
  <x:c r="O136" i="1"/>
  <x:c r="P136" i="1"/>
  <x:c r="R136" i="1"/>
  <x:c r="S136" i="1"/>
  <x:c r="H137" i="1"/>
  <x:c r="I137" i="1"/>
  <x:c r="J137" i="1"/>
  <x:c r="K137" i="1"/>
  <x:c r="L137" i="1"/>
  <x:c r="M137" i="1"/>
  <x:c r="N137" i="1"/>
  <x:c r="O137" i="1"/>
  <x:c r="P137" i="1"/>
  <x:c r="R137" i="1"/>
  <x:c r="S137" i="1"/>
  <x:c r="H138" i="1"/>
  <x:c r="I138" i="1"/>
  <x:c r="J138" i="1"/>
  <x:c r="K138" i="1"/>
  <x:c r="L138" i="1"/>
  <x:c r="M138" i="1"/>
  <x:c r="N138" i="1"/>
  <x:c r="O138" i="1"/>
  <x:c r="P138" i="1"/>
  <x:c r="R138" i="1"/>
  <x:c r="S138" i="1"/>
  <x:c r="H139" i="1"/>
  <x:c r="I139" i="1"/>
  <x:c r="J139" i="1"/>
  <x:c r="K139" i="1"/>
  <x:c r="L139" i="1"/>
  <x:c r="M139" i="1"/>
  <x:c r="N139" i="1"/>
  <x:c r="O139" i="1"/>
  <x:c r="P139" i="1"/>
  <x:c r="R139" i="1"/>
  <x:c r="S139" i="1"/>
  <x:c r="H140" i="1"/>
  <x:c r="I140" i="1"/>
  <x:c r="J140" i="1"/>
  <x:c r="K140" i="1"/>
  <x:c r="L140" i="1"/>
  <x:c r="M140" i="1"/>
  <x:c r="N140" i="1"/>
  <x:c r="O140" i="1"/>
  <x:c r="P140" i="1"/>
  <x:c r="R140" i="1"/>
  <x:c r="S140" i="1"/>
  <x:c r="H141" i="1"/>
  <x:c r="I141" i="1"/>
  <x:c r="J141" i="1"/>
  <x:c r="K141" i="1"/>
  <x:c r="L141" i="1"/>
  <x:c r="M141" i="1"/>
  <x:c r="N141" i="1"/>
  <x:c r="O141" i="1"/>
  <x:c r="P141" i="1"/>
  <x:c r="R141" i="1"/>
  <x:c r="S141" i="1"/>
  <x:c r="H142" i="1"/>
  <x:c r="I142" i="1"/>
  <x:c r="J142" i="1"/>
  <x:c r="K142" i="1"/>
  <x:c r="L142" i="1"/>
  <x:c r="M142" i="1"/>
  <x:c r="N142" i="1"/>
  <x:c r="O142" i="1"/>
  <x:c r="P142" i="1"/>
  <x:c r="R142" i="1"/>
  <x:c r="S142" i="1"/>
  <x:c r="H143" i="1"/>
  <x:c r="I143" i="1"/>
  <x:c r="J143" i="1"/>
  <x:c r="K143" i="1"/>
  <x:c r="L143" i="1"/>
  <x:c r="M143" i="1"/>
  <x:c r="N143" i="1"/>
  <x:c r="O143" i="1"/>
  <x:c r="P143" i="1"/>
  <x:c r="R143" i="1"/>
  <x:c r="S143" i="1"/>
  <x:c r="H144" i="1"/>
  <x:c r="I144" i="1"/>
  <x:c r="J144" i="1"/>
  <x:c r="K144" i="1"/>
  <x:c r="L144" i="1"/>
  <x:c r="M144" i="1"/>
  <x:c r="N144" i="1"/>
  <x:c r="O144" i="1"/>
  <x:c r="P144" i="1"/>
  <x:c r="R144" i="1"/>
  <x:c r="S144" i="1"/>
  <x:c r="H145" i="1"/>
  <x:c r="I145" i="1"/>
  <x:c r="J145" i="1"/>
  <x:c r="K145" i="1"/>
  <x:c r="L145" i="1"/>
  <x:c r="M145" i="1"/>
  <x:c r="N145" i="1"/>
  <x:c r="O145" i="1"/>
  <x:c r="P145" i="1"/>
  <x:c r="R145" i="1"/>
  <x:c r="S145" i="1"/>
  <x:c r="H146" i="1"/>
  <x:c r="I146" i="1"/>
  <x:c r="J146" i="1"/>
  <x:c r="K146" i="1"/>
  <x:c r="L146" i="1"/>
  <x:c r="M146" i="1"/>
  <x:c r="N146" i="1"/>
  <x:c r="O146" i="1"/>
  <x:c r="P146" i="1"/>
  <x:c r="R146" i="1"/>
  <x:c r="S146" i="1"/>
  <x:c r="H147" i="1"/>
  <x:c r="I147" i="1"/>
  <x:c r="J147" i="1"/>
  <x:c r="K147" i="1"/>
  <x:c r="L147" i="1"/>
  <x:c r="M147" i="1"/>
  <x:c r="N147" i="1"/>
  <x:c r="O147" i="1"/>
  <x:c r="P147" i="1"/>
  <x:c r="R147" i="1"/>
  <x:c r="S147" i="1"/>
  <x:c r="H148" i="1"/>
  <x:c r="I148" i="1"/>
  <x:c r="J148" i="1"/>
  <x:c r="K148" i="1"/>
  <x:c r="L148" i="1"/>
  <x:c r="M148" i="1"/>
  <x:c r="N148" i="1"/>
  <x:c r="O148" i="1"/>
  <x:c r="P148" i="1"/>
  <x:c r="R148" i="1"/>
  <x:c r="S148" i="1"/>
  <x:c r="H149" i="1"/>
  <x:c r="I149" i="1"/>
  <x:c r="J149" i="1"/>
  <x:c r="K149" i="1"/>
  <x:c r="L149" i="1"/>
  <x:c r="M149" i="1"/>
  <x:c r="N149" i="1"/>
  <x:c r="O149" i="1"/>
  <x:c r="P149" i="1"/>
  <x:c r="R149" i="1"/>
  <x:c r="S149" i="1"/>
  <x:c r="H150" i="1"/>
  <x:c r="I150" i="1"/>
  <x:c r="J150" i="1"/>
  <x:c r="K150" i="1"/>
  <x:c r="L150" i="1"/>
  <x:c r="M150" i="1"/>
  <x:c r="N150" i="1"/>
  <x:c r="O150" i="1"/>
  <x:c r="P150" i="1"/>
  <x:c r="R150" i="1"/>
  <x:c r="S150" i="1"/>
  <x:c r="H151" i="1"/>
  <x:c r="I151" i="1"/>
  <x:c r="J151" i="1"/>
  <x:c r="K151" i="1"/>
  <x:c r="L151" i="1"/>
  <x:c r="M151" i="1"/>
  <x:c r="N151" i="1"/>
  <x:c r="O151" i="1"/>
  <x:c r="P151" i="1"/>
  <x:c r="R151" i="1"/>
  <x:c r="S151" i="1"/>
  <x:c r="H152" i="1"/>
  <x:c r="I152" i="1"/>
  <x:c r="J152" i="1"/>
  <x:c r="K152" i="1"/>
  <x:c r="L152" i="1"/>
  <x:c r="M152" i="1"/>
  <x:c r="N152" i="1"/>
  <x:c r="O152" i="1"/>
  <x:c r="P152" i="1"/>
  <x:c r="R152" i="1"/>
  <x:c r="S152" i="1"/>
  <x:c r="H153" i="1"/>
  <x:c r="I153" i="1"/>
  <x:c r="J153" i="1"/>
  <x:c r="K153" i="1"/>
  <x:c r="L153" i="1"/>
  <x:c r="M153" i="1"/>
  <x:c r="N153" i="1"/>
  <x:c r="O153" i="1"/>
  <x:c r="P153" i="1"/>
  <x:c r="R153" i="1"/>
  <x:c r="S153" i="1"/>
  <x:c r="H154" i="1"/>
  <x:c r="I154" i="1"/>
  <x:c r="J154" i="1"/>
  <x:c r="K154" i="1"/>
  <x:c r="L154" i="1"/>
  <x:c r="M154" i="1"/>
  <x:c r="N154" i="1"/>
  <x:c r="O154" i="1"/>
  <x:c r="P154" i="1"/>
  <x:c r="R154" i="1"/>
  <x:c r="S154" i="1"/>
  <x:c r="H155" i="1"/>
  <x:c r="I155" i="1"/>
  <x:c r="J155" i="1"/>
  <x:c r="K155" i="1"/>
  <x:c r="L155" i="1"/>
  <x:c r="M155" i="1"/>
  <x:c r="N155" i="1"/>
  <x:c r="O155" i="1"/>
  <x:c r="P155" i="1"/>
  <x:c r="R155" i="1"/>
  <x:c r="S155" i="1"/>
  <x:c r="H156" i="1"/>
  <x:c r="I156" i="1"/>
  <x:c r="J156" i="1"/>
  <x:c r="K156" i="1"/>
  <x:c r="L156" i="1"/>
  <x:c r="M156" i="1"/>
  <x:c r="N156" i="1"/>
  <x:c r="O156" i="1"/>
  <x:c r="P156" i="1"/>
  <x:c r="R156" i="1"/>
  <x:c r="S156" i="1"/>
  <x:c r="H157" i="1"/>
  <x:c r="I157" i="1"/>
  <x:c r="J157" i="1"/>
  <x:c r="K157" i="1"/>
  <x:c r="L157" i="1"/>
  <x:c r="M157" i="1"/>
  <x:c r="N157" i="1"/>
  <x:c r="O157" i="1"/>
  <x:c r="P157" i="1"/>
  <x:c r="R157" i="1"/>
  <x:c r="S157" i="1"/>
  <x:c r="H158" i="1"/>
  <x:c r="I158" i="1"/>
  <x:c r="J158" i="1"/>
  <x:c r="K158" i="1"/>
  <x:c r="L158" i="1"/>
  <x:c r="M158" i="1"/>
  <x:c r="N158" i="1"/>
  <x:c r="O158" i="1"/>
  <x:c r="P158" i="1"/>
  <x:c r="R158" i="1"/>
  <x:c r="S158" i="1"/>
  <x:c r="H159" i="1"/>
  <x:c r="I159" i="1"/>
  <x:c r="J159" i="1"/>
  <x:c r="K159" i="1"/>
  <x:c r="L159" i="1"/>
  <x:c r="M159" i="1"/>
  <x:c r="N159" i="1"/>
  <x:c r="O159" i="1"/>
  <x:c r="P159" i="1"/>
  <x:c r="R159" i="1"/>
  <x:c r="S159" i="1"/>
  <x:c r="H160" i="1"/>
  <x:c r="I160" i="1"/>
  <x:c r="J160" i="1"/>
  <x:c r="K160" i="1"/>
  <x:c r="L160" i="1"/>
  <x:c r="M160" i="1"/>
  <x:c r="N160" i="1"/>
  <x:c r="O160" i="1"/>
  <x:c r="P160" i="1"/>
  <x:c r="R160" i="1"/>
  <x:c r="S160" i="1"/>
  <x:c r="H161" i="1"/>
  <x:c r="I161" i="1"/>
  <x:c r="J161" i="1"/>
  <x:c r="K161" i="1"/>
  <x:c r="L161" i="1"/>
  <x:c r="M161" i="1"/>
  <x:c r="N161" i="1"/>
  <x:c r="O161" i="1"/>
  <x:c r="P161" i="1"/>
  <x:c r="R161" i="1"/>
  <x:c r="S161" i="1"/>
  <x:c r="H162" i="1"/>
  <x:c r="I162" i="1"/>
  <x:c r="J162" i="1"/>
  <x:c r="K162" i="1"/>
  <x:c r="L162" i="1"/>
  <x:c r="M162" i="1"/>
  <x:c r="N162" i="1"/>
  <x:c r="O162" i="1"/>
  <x:c r="P162" i="1"/>
  <x:c r="R162" i="1"/>
  <x:c r="S162" i="1"/>
  <x:c r="H163" i="1"/>
  <x:c r="I163" i="1"/>
  <x:c r="J163" i="1"/>
  <x:c r="K163" i="1"/>
  <x:c r="L163" i="1"/>
  <x:c r="M163" i="1"/>
  <x:c r="N163" i="1"/>
  <x:c r="O163" i="1"/>
  <x:c r="P163" i="1"/>
  <x:c r="R163" i="1"/>
  <x:c r="S163" i="1"/>
  <x:c r="H164" i="1"/>
  <x:c r="I164" i="1"/>
  <x:c r="J164" i="1"/>
  <x:c r="K164" i="1"/>
  <x:c r="L164" i="1"/>
  <x:c r="M164" i="1"/>
  <x:c r="N164" i="1"/>
  <x:c r="O164" i="1"/>
  <x:c r="P164" i="1"/>
  <x:c r="R164" i="1"/>
  <x:c r="S164" i="1"/>
  <x:c r="H165" i="1"/>
  <x:c r="I165" i="1"/>
  <x:c r="J165" i="1"/>
  <x:c r="K165" i="1"/>
  <x:c r="L165" i="1"/>
  <x:c r="M165" i="1"/>
  <x:c r="N165" i="1"/>
  <x:c r="O165" i="1"/>
  <x:c r="P165" i="1"/>
  <x:c r="R165" i="1"/>
  <x:c r="S165" i="1"/>
  <x:c r="H166" i="1"/>
  <x:c r="I166" i="1"/>
  <x:c r="J166" i="1"/>
  <x:c r="K166" i="1"/>
  <x:c r="L166" i="1"/>
  <x:c r="M166" i="1"/>
  <x:c r="N166" i="1"/>
  <x:c r="O166" i="1"/>
  <x:c r="P166" i="1"/>
  <x:c r="R166" i="1"/>
  <x:c r="S166" i="1"/>
  <x:c r="H167" i="1"/>
  <x:c r="I167" i="1"/>
  <x:c r="J167" i="1"/>
  <x:c r="K167" i="1"/>
  <x:c r="L167" i="1"/>
  <x:c r="M167" i="1"/>
  <x:c r="N167" i="1"/>
  <x:c r="O167" i="1"/>
  <x:c r="P167" i="1"/>
  <x:c r="R167" i="1"/>
  <x:c r="S167" i="1"/>
  <x:c r="H168" i="1"/>
  <x:c r="I168" i="1"/>
  <x:c r="J168" i="1"/>
  <x:c r="K168" i="1"/>
  <x:c r="L168" i="1"/>
  <x:c r="M168" i="1"/>
  <x:c r="N168" i="1"/>
  <x:c r="O168" i="1"/>
  <x:c r="P168" i="1"/>
  <x:c r="R168" i="1"/>
  <x:c r="S168" i="1"/>
  <x:c r="H169" i="1"/>
  <x:c r="I169" i="1"/>
  <x:c r="J169" i="1"/>
  <x:c r="K169" i="1"/>
  <x:c r="L169" i="1"/>
  <x:c r="M169" i="1"/>
  <x:c r="N169" i="1"/>
  <x:c r="O169" i="1"/>
  <x:c r="P169" i="1"/>
  <x:c r="R169" i="1"/>
  <x:c r="S169" i="1"/>
  <x:c r="H170" i="1"/>
  <x:c r="I170" i="1"/>
  <x:c r="J170" i="1"/>
  <x:c r="K170" i="1"/>
  <x:c r="L170" i="1"/>
  <x:c r="M170" i="1"/>
  <x:c r="N170" i="1"/>
  <x:c r="O170" i="1"/>
  <x:c r="P170" i="1"/>
  <x:c r="R170" i="1"/>
  <x:c r="S170" i="1"/>
  <x:c r="H171" i="1"/>
  <x:c r="I171" i="1"/>
  <x:c r="J171" i="1"/>
  <x:c r="K171" i="1"/>
  <x:c r="L171" i="1"/>
  <x:c r="M171" i="1"/>
  <x:c r="N171" i="1"/>
  <x:c r="O171" i="1"/>
  <x:c r="P171" i="1"/>
  <x:c r="R171" i="1"/>
  <x:c r="S171" i="1"/>
  <x:c r="H172" i="1"/>
  <x:c r="I172" i="1"/>
  <x:c r="J172" i="1"/>
  <x:c r="K172" i="1"/>
  <x:c r="L172" i="1"/>
  <x:c r="M172" i="1"/>
  <x:c r="N172" i="1"/>
  <x:c r="O172" i="1"/>
  <x:c r="P172" i="1"/>
  <x:c r="R172" i="1"/>
  <x:c r="S172" i="1"/>
  <x:c r="H173" i="1"/>
  <x:c r="I173" i="1"/>
  <x:c r="J173" i="1"/>
  <x:c r="K173" i="1"/>
  <x:c r="L173" i="1"/>
  <x:c r="M173" i="1"/>
  <x:c r="N173" i="1"/>
  <x:c r="O173" i="1"/>
  <x:c r="P173" i="1"/>
  <x:c r="R173" i="1"/>
  <x:c r="S173" i="1"/>
  <x:c r="H174" i="1"/>
  <x:c r="I174" i="1"/>
  <x:c r="J174" i="1"/>
  <x:c r="K174" i="1"/>
  <x:c r="L174" i="1"/>
  <x:c r="M174" i="1"/>
  <x:c r="N174" i="1"/>
  <x:c r="O174" i="1"/>
  <x:c r="P174" i="1"/>
  <x:c r="R174" i="1"/>
  <x:c r="S174" i="1"/>
  <x:c r="H175" i="1"/>
  <x:c r="I175" i="1"/>
  <x:c r="J175" i="1"/>
  <x:c r="K175" i="1"/>
  <x:c r="L175" i="1"/>
  <x:c r="M175" i="1"/>
  <x:c r="N175" i="1"/>
  <x:c r="O175" i="1"/>
  <x:c r="P175" i="1"/>
  <x:c r="R175" i="1"/>
  <x:c r="S175" i="1"/>
  <x:c r="H176" i="1"/>
  <x:c r="I176" i="1"/>
  <x:c r="J176" i="1"/>
  <x:c r="K176" i="1"/>
  <x:c r="L176" i="1"/>
  <x:c r="M176" i="1"/>
  <x:c r="N176" i="1"/>
  <x:c r="O176" i="1"/>
  <x:c r="P176" i="1"/>
  <x:c r="R176" i="1"/>
  <x:c r="S176" i="1"/>
  <x:c r="H177" i="1"/>
  <x:c r="I177" i="1"/>
  <x:c r="J177" i="1"/>
  <x:c r="K177" i="1"/>
  <x:c r="L177" i="1"/>
  <x:c r="M177" i="1"/>
  <x:c r="N177" i="1"/>
  <x:c r="O177" i="1"/>
  <x:c r="P177" i="1"/>
  <x:c r="R177" i="1"/>
  <x:c r="S177" i="1"/>
  <x:c r="H178" i="1"/>
  <x:c r="I178" i="1"/>
  <x:c r="J178" i="1"/>
  <x:c r="K178" i="1"/>
  <x:c r="L178" i="1"/>
  <x:c r="M178" i="1"/>
  <x:c r="N178" i="1"/>
  <x:c r="O178" i="1"/>
  <x:c r="P178" i="1"/>
  <x:c r="R178" i="1"/>
  <x:c r="S178" i="1"/>
  <x:c r="H179" i="1"/>
  <x:c r="I179" i="1"/>
  <x:c r="J179" i="1"/>
  <x:c r="K179" i="1"/>
  <x:c r="L179" i="1"/>
  <x:c r="M179" i="1"/>
  <x:c r="N179" i="1"/>
  <x:c r="O179" i="1"/>
  <x:c r="P179" i="1"/>
  <x:c r="R179" i="1"/>
  <x:c r="S179" i="1"/>
  <x:c r="H180" i="1"/>
  <x:c r="I180" i="1"/>
  <x:c r="J180" i="1"/>
  <x:c r="K180" i="1"/>
  <x:c r="L180" i="1"/>
  <x:c r="M180" i="1"/>
  <x:c r="N180" i="1"/>
  <x:c r="O180" i="1"/>
  <x:c r="P180" i="1"/>
  <x:c r="R180" i="1"/>
  <x:c r="S180" i="1"/>
  <x:c r="H181" i="1"/>
  <x:c r="I181" i="1"/>
  <x:c r="J181" i="1"/>
  <x:c r="K181" i="1"/>
  <x:c r="L181" i="1"/>
  <x:c r="M181" i="1"/>
  <x:c r="N181" i="1"/>
  <x:c r="O181" i="1"/>
  <x:c r="P181" i="1"/>
  <x:c r="R181" i="1"/>
  <x:c r="S181" i="1"/>
  <x:c r="H182" i="1"/>
  <x:c r="I182" i="1"/>
  <x:c r="J182" i="1"/>
  <x:c r="K182" i="1"/>
  <x:c r="L182" i="1"/>
  <x:c r="M182" i="1"/>
  <x:c r="N182" i="1"/>
  <x:c r="O182" i="1"/>
  <x:c r="P182" i="1"/>
  <x:c r="R182" i="1"/>
  <x:c r="S182" i="1"/>
  <x:c r="H183" i="1"/>
  <x:c r="I183" i="1"/>
  <x:c r="J183" i="1"/>
  <x:c r="K183" i="1"/>
  <x:c r="L183" i="1"/>
  <x:c r="M183" i="1"/>
  <x:c r="N183" i="1"/>
  <x:c r="O183" i="1"/>
  <x:c r="P183" i="1"/>
  <x:c r="R183" i="1"/>
  <x:c r="S183" i="1"/>
  <x:c r="H184" i="1"/>
  <x:c r="I184" i="1"/>
  <x:c r="J184" i="1"/>
  <x:c r="K184" i="1"/>
  <x:c r="L184" i="1"/>
  <x:c r="M184" i="1"/>
  <x:c r="N184" i="1"/>
  <x:c r="O184" i="1"/>
  <x:c r="P184" i="1"/>
  <x:c r="R184" i="1"/>
  <x:c r="S184" i="1"/>
  <x:c r="H185" i="1"/>
  <x:c r="I185" i="1"/>
  <x:c r="J185" i="1"/>
  <x:c r="K185" i="1"/>
  <x:c r="L185" i="1"/>
  <x:c r="M185" i="1"/>
  <x:c r="N185" i="1"/>
  <x:c r="O185" i="1"/>
  <x:c r="P185" i="1"/>
  <x:c r="R185" i="1"/>
  <x:c r="S185" i="1"/>
  <x:c r="H186" i="1"/>
  <x:c r="I186" i="1"/>
  <x:c r="J186" i="1"/>
  <x:c r="K186" i="1"/>
  <x:c r="L186" i="1"/>
  <x:c r="M186" i="1"/>
  <x:c r="N186" i="1"/>
  <x:c r="O186" i="1"/>
  <x:c r="P186" i="1"/>
  <x:c r="R186" i="1"/>
  <x:c r="S186" i="1"/>
  <x:c r="H187" i="1"/>
  <x:c r="I187" i="1"/>
  <x:c r="J187" i="1"/>
  <x:c r="K187" i="1"/>
  <x:c r="L187" i="1"/>
  <x:c r="M187" i="1"/>
  <x:c r="N187" i="1"/>
  <x:c r="O187" i="1"/>
  <x:c r="P187" i="1"/>
  <x:c r="R187" i="1"/>
  <x:c r="S187" i="1"/>
  <x:c r="H188" i="1"/>
  <x:c r="I188" i="1"/>
  <x:c r="J188" i="1"/>
  <x:c r="K188" i="1"/>
  <x:c r="L188" i="1"/>
  <x:c r="M188" i="1"/>
  <x:c r="N188" i="1"/>
  <x:c r="O188" i="1"/>
  <x:c r="P188" i="1"/>
  <x:c r="R188" i="1"/>
  <x:c r="S188" i="1"/>
  <x:c r="H189" i="1"/>
  <x:c r="I189" i="1"/>
  <x:c r="J189" i="1"/>
  <x:c r="K189" i="1"/>
  <x:c r="L189" i="1"/>
  <x:c r="M189" i="1"/>
  <x:c r="N189" i="1"/>
  <x:c r="O189" i="1"/>
  <x:c r="P189" i="1"/>
  <x:c r="R189" i="1"/>
  <x:c r="S189" i="1"/>
  <x:c r="H190" i="1"/>
  <x:c r="I190" i="1"/>
  <x:c r="J190" i="1"/>
  <x:c r="K190" i="1"/>
  <x:c r="L190" i="1"/>
  <x:c r="M190" i="1"/>
  <x:c r="N190" i="1"/>
  <x:c r="O190" i="1"/>
  <x:c r="P190" i="1"/>
  <x:c r="R190" i="1"/>
  <x:c r="S190" i="1"/>
  <x:c r="H191" i="1"/>
  <x:c r="I191" i="1"/>
  <x:c r="J191" i="1"/>
  <x:c r="K191" i="1"/>
  <x:c r="L191" i="1"/>
  <x:c r="M191" i="1"/>
  <x:c r="N191" i="1"/>
  <x:c r="O191" i="1"/>
  <x:c r="P191" i="1"/>
  <x:c r="R191" i="1"/>
  <x:c r="S191" i="1"/>
  <x:c r="H192" i="1"/>
  <x:c r="I192" i="1"/>
  <x:c r="J192" i="1"/>
  <x:c r="K192" i="1"/>
  <x:c r="L192" i="1"/>
  <x:c r="M192" i="1"/>
  <x:c r="N192" i="1"/>
  <x:c r="O192" i="1"/>
  <x:c r="P192" i="1"/>
  <x:c r="R192" i="1"/>
  <x:c r="S192" i="1"/>
  <x:c r="H193" i="1"/>
  <x:c r="I193" i="1"/>
  <x:c r="J193" i="1"/>
  <x:c r="K193" i="1"/>
  <x:c r="L193" i="1"/>
  <x:c r="M193" i="1"/>
  <x:c r="N193" i="1"/>
  <x:c r="O193" i="1"/>
  <x:c r="P193" i="1"/>
  <x:c r="R193" i="1"/>
  <x:c r="S193" i="1"/>
  <x:c r="H194" i="1"/>
  <x:c r="I194" i="1"/>
  <x:c r="J194" i="1"/>
  <x:c r="K194" i="1"/>
  <x:c r="L194" i="1"/>
  <x:c r="M194" i="1"/>
  <x:c r="N194" i="1"/>
  <x:c r="O194" i="1"/>
  <x:c r="P194" i="1"/>
  <x:c r="R194" i="1"/>
  <x:c r="S194" i="1"/>
  <x:c r="H195" i="1"/>
  <x:c r="I195" i="1"/>
  <x:c r="J195" i="1"/>
  <x:c r="K195" i="1"/>
  <x:c r="L195" i="1"/>
  <x:c r="M195" i="1"/>
  <x:c r="N195" i="1"/>
  <x:c r="O195" i="1"/>
  <x:c r="P195" i="1"/>
  <x:c r="R195" i="1"/>
  <x:c r="S195" i="1"/>
  <x:c r="H196" i="1"/>
  <x:c r="I196" i="1"/>
  <x:c r="J196" i="1"/>
  <x:c r="K196" i="1"/>
  <x:c r="L196" i="1"/>
  <x:c r="M196" i="1"/>
  <x:c r="N196" i="1"/>
  <x:c r="O196" i="1"/>
  <x:c r="P196" i="1"/>
  <x:c r="R196" i="1"/>
  <x:c r="S196" i="1"/>
  <x:c r="H197" i="1"/>
  <x:c r="I197" i="1"/>
  <x:c r="J197" i="1"/>
  <x:c r="K197" i="1"/>
  <x:c r="L197" i="1"/>
  <x:c r="M197" i="1"/>
  <x:c r="N197" i="1"/>
  <x:c r="O197" i="1"/>
  <x:c r="P197" i="1"/>
  <x:c r="R197" i="1"/>
  <x:c r="S197" i="1"/>
  <x:c r="H198" i="1"/>
  <x:c r="I198" i="1"/>
  <x:c r="J198" i="1"/>
  <x:c r="K198" i="1"/>
  <x:c r="L198" i="1"/>
  <x:c r="M198" i="1"/>
  <x:c r="N198" i="1"/>
  <x:c r="O198" i="1"/>
  <x:c r="P198" i="1"/>
  <x:c r="R198" i="1"/>
  <x:c r="S198" i="1"/>
  <x:c r="H199" i="1"/>
  <x:c r="I199" i="1"/>
  <x:c r="J199" i="1"/>
  <x:c r="K199" i="1"/>
  <x:c r="L199" i="1"/>
  <x:c r="M199" i="1"/>
  <x:c r="N199" i="1"/>
  <x:c r="O199" i="1"/>
  <x:c r="P199" i="1"/>
  <x:c r="R199" i="1"/>
  <x:c r="S199" i="1"/>
  <x:c r="H200" i="1"/>
  <x:c r="I200" i="1"/>
  <x:c r="J200" i="1"/>
  <x:c r="K200" i="1"/>
  <x:c r="L200" i="1"/>
  <x:c r="M200" i="1"/>
  <x:c r="N200" i="1"/>
  <x:c r="O200" i="1"/>
  <x:c r="P200" i="1"/>
  <x:c r="R200" i="1"/>
  <x:c r="S200" i="1"/>
  <x:c r="H201" i="1"/>
  <x:c r="I201" i="1"/>
  <x:c r="J201" i="1"/>
  <x:c r="K201" i="1"/>
  <x:c r="L201" i="1"/>
  <x:c r="M201" i="1"/>
  <x:c r="N201" i="1"/>
  <x:c r="O201" i="1"/>
  <x:c r="P201" i="1"/>
  <x:c r="R201" i="1"/>
  <x:c r="S201" i="1"/>
  <x:c r="H202" i="1"/>
  <x:c r="I202" i="1"/>
  <x:c r="J202" i="1"/>
  <x:c r="K202" i="1"/>
  <x:c r="L202" i="1"/>
  <x:c r="M202" i="1"/>
  <x:c r="N202" i="1"/>
  <x:c r="O202" i="1"/>
  <x:c r="P202" i="1"/>
  <x:c r="R202" i="1"/>
  <x:c r="S202" i="1"/>
  <x:c r="H203" i="1"/>
  <x:c r="I203" i="1"/>
  <x:c r="J203" i="1"/>
  <x:c r="K203" i="1"/>
  <x:c r="L203" i="1"/>
  <x:c r="M203" i="1"/>
  <x:c r="N203" i="1"/>
  <x:c r="O203" i="1"/>
  <x:c r="P203" i="1"/>
  <x:c r="R203" i="1"/>
  <x:c r="S203" i="1"/>
  <x:c r="H204" i="1"/>
  <x:c r="I204" i="1"/>
  <x:c r="J204" i="1"/>
  <x:c r="K204" i="1"/>
  <x:c r="L204" i="1"/>
  <x:c r="M204" i="1"/>
  <x:c r="N204" i="1"/>
  <x:c r="O204" i="1"/>
  <x:c r="P204" i="1"/>
  <x:c r="R204" i="1"/>
  <x:c r="S204" i="1"/>
  <x:c r="H205" i="1"/>
  <x:c r="I205" i="1"/>
  <x:c r="J205" i="1"/>
  <x:c r="K205" i="1"/>
  <x:c r="L205" i="1"/>
  <x:c r="M205" i="1"/>
  <x:c r="N205" i="1"/>
  <x:c r="O205" i="1"/>
  <x:c r="P205" i="1"/>
  <x:c r="R205" i="1"/>
  <x:c r="S205" i="1"/>
  <x:c r="H206" i="1"/>
  <x:c r="I206" i="1"/>
  <x:c r="J206" i="1"/>
  <x:c r="K206" i="1"/>
  <x:c r="L206" i="1"/>
  <x:c r="M206" i="1"/>
  <x:c r="N206" i="1"/>
  <x:c r="O206" i="1"/>
  <x:c r="P206" i="1"/>
  <x:c r="R206" i="1"/>
  <x:c r="S206" i="1"/>
  <x:c r="H207" i="1"/>
  <x:c r="I207" i="1"/>
  <x:c r="J207" i="1"/>
  <x:c r="K207" i="1"/>
  <x:c r="L207" i="1"/>
  <x:c r="M207" i="1"/>
  <x:c r="N207" i="1"/>
  <x:c r="O207" i="1"/>
  <x:c r="P207" i="1"/>
  <x:c r="R207" i="1"/>
  <x:c r="S207" i="1"/>
  <x:c r="H208" i="1"/>
  <x:c r="I208" i="1"/>
  <x:c r="J208" i="1"/>
  <x:c r="K208" i="1"/>
  <x:c r="L208" i="1"/>
  <x:c r="M208" i="1"/>
  <x:c r="N208" i="1"/>
  <x:c r="O208" i="1"/>
  <x:c r="P208" i="1"/>
  <x:c r="R208" i="1"/>
  <x:c r="S208" i="1"/>
  <x:c r="H209" i="1"/>
  <x:c r="I209" i="1"/>
  <x:c r="J209" i="1"/>
  <x:c r="K209" i="1"/>
  <x:c r="L209" i="1"/>
  <x:c r="M209" i="1"/>
  <x:c r="N209" i="1"/>
  <x:c r="O209" i="1"/>
  <x:c r="P209" i="1"/>
  <x:c r="R209" i="1"/>
  <x:c r="S209" i="1"/>
  <x:c r="H210" i="1"/>
  <x:c r="I210" i="1"/>
  <x:c r="J210" i="1"/>
  <x:c r="K210" i="1"/>
  <x:c r="L210" i="1"/>
  <x:c r="M210" i="1"/>
  <x:c r="N210" i="1"/>
  <x:c r="O210" i="1"/>
  <x:c r="P210" i="1"/>
  <x:c r="R210" i="1"/>
  <x:c r="S210" i="1"/>
  <x:c r="H211" i="1"/>
  <x:c r="I211" i="1"/>
  <x:c r="J211" i="1"/>
  <x:c r="K211" i="1"/>
  <x:c r="L211" i="1"/>
  <x:c r="M211" i="1"/>
  <x:c r="N211" i="1"/>
  <x:c r="O211" i="1"/>
  <x:c r="P211" i="1"/>
  <x:c r="R211" i="1"/>
  <x:c r="S211" i="1"/>
  <x:c r="H212" i="1"/>
  <x:c r="I212" i="1"/>
  <x:c r="J212" i="1"/>
  <x:c r="K212" i="1"/>
  <x:c r="L212" i="1"/>
  <x:c r="M212" i="1"/>
  <x:c r="N212" i="1"/>
  <x:c r="O212" i="1"/>
  <x:c r="P212" i="1"/>
  <x:c r="R212" i="1"/>
  <x:c r="S212" i="1"/>
  <x:c r="H213" i="1"/>
  <x:c r="I213" i="1"/>
  <x:c r="J213" i="1"/>
  <x:c r="K213" i="1"/>
  <x:c r="L213" i="1"/>
  <x:c r="M213" i="1"/>
  <x:c r="N213" i="1"/>
  <x:c r="O213" i="1"/>
  <x:c r="P213" i="1"/>
  <x:c r="R213" i="1"/>
  <x:c r="S213" i="1"/>
  <x:c r="H214" i="1"/>
  <x:c r="I214" i="1"/>
  <x:c r="J214" i="1"/>
  <x:c r="K214" i="1"/>
  <x:c r="L214" i="1"/>
  <x:c r="M214" i="1"/>
  <x:c r="N214" i="1"/>
  <x:c r="O214" i="1"/>
  <x:c r="P214" i="1"/>
  <x:c r="R214" i="1"/>
  <x:c r="S214" i="1"/>
  <x:c r="H215" i="1"/>
  <x:c r="I215" i="1"/>
  <x:c r="J215" i="1"/>
  <x:c r="K215" i="1"/>
  <x:c r="L215" i="1"/>
  <x:c r="M215" i="1"/>
  <x:c r="N215" i="1"/>
  <x:c r="O215" i="1"/>
  <x:c r="P215" i="1"/>
  <x:c r="R215" i="1"/>
  <x:c r="S215" i="1"/>
  <x:c r="H216" i="1"/>
  <x:c r="I216" i="1"/>
  <x:c r="J216" i="1"/>
  <x:c r="K216" i="1"/>
  <x:c r="L216" i="1"/>
  <x:c r="M216" i="1"/>
  <x:c r="N216" i="1"/>
  <x:c r="O216" i="1"/>
  <x:c r="P216" i="1"/>
  <x:c r="R216" i="1"/>
  <x:c r="S216" i="1"/>
  <x:c r="H217" i="1"/>
  <x:c r="I217" i="1"/>
  <x:c r="J217" i="1"/>
  <x:c r="K217" i="1"/>
  <x:c r="L217" i="1"/>
  <x:c r="M217" i="1"/>
  <x:c r="N217" i="1"/>
  <x:c r="O217" i="1"/>
  <x:c r="P217" i="1"/>
  <x:c r="R217" i="1"/>
  <x:c r="S217" i="1"/>
  <x:c r="H218" i="1"/>
  <x:c r="I218" i="1"/>
  <x:c r="J218" i="1"/>
  <x:c r="K218" i="1"/>
  <x:c r="L218" i="1"/>
  <x:c r="M218" i="1"/>
  <x:c r="N218" i="1"/>
  <x:c r="O218" i="1"/>
  <x:c r="P218" i="1"/>
  <x:c r="R218" i="1"/>
  <x:c r="S218" i="1"/>
  <x:c r="H219" i="1"/>
  <x:c r="I219" i="1"/>
  <x:c r="J219" i="1"/>
  <x:c r="K219" i="1"/>
  <x:c r="L219" i="1"/>
  <x:c r="M219" i="1"/>
  <x:c r="N219" i="1"/>
  <x:c r="O219" i="1"/>
  <x:c r="P219" i="1"/>
  <x:c r="R219" i="1"/>
  <x:c r="S219" i="1"/>
  <x:c r="H220" i="1"/>
  <x:c r="I220" i="1"/>
  <x:c r="J220" i="1"/>
  <x:c r="K220" i="1"/>
  <x:c r="L220" i="1"/>
  <x:c r="M220" i="1"/>
  <x:c r="N220" i="1"/>
  <x:c r="O220" i="1"/>
  <x:c r="P220" i="1"/>
  <x:c r="R220" i="1"/>
  <x:c r="S220" i="1"/>
  <x:c r="H221" i="1"/>
  <x:c r="I221" i="1"/>
  <x:c r="J221" i="1"/>
  <x:c r="K221" i="1"/>
  <x:c r="L221" i="1"/>
  <x:c r="M221" i="1"/>
  <x:c r="N221" i="1"/>
  <x:c r="O221" i="1"/>
  <x:c r="P221" i="1"/>
  <x:c r="R221" i="1"/>
  <x:c r="S221" i="1"/>
  <x:c r="H222" i="1"/>
  <x:c r="I222" i="1"/>
  <x:c r="J222" i="1"/>
  <x:c r="K222" i="1"/>
  <x:c r="L222" i="1"/>
  <x:c r="M222" i="1"/>
  <x:c r="N222" i="1"/>
  <x:c r="O222" i="1"/>
  <x:c r="P222" i="1"/>
  <x:c r="R222" i="1"/>
  <x:c r="S222" i="1"/>
  <x:c r="H223" i="1"/>
  <x:c r="I223" i="1"/>
  <x:c r="J223" i="1"/>
  <x:c r="K223" i="1"/>
  <x:c r="L223" i="1"/>
  <x:c r="M223" i="1"/>
  <x:c r="N223" i="1"/>
  <x:c r="O223" i="1"/>
  <x:c r="P223" i="1"/>
  <x:c r="R223" i="1"/>
  <x:c r="S223" i="1"/>
  <x:c r="H224" i="1"/>
  <x:c r="I224" i="1"/>
  <x:c r="J224" i="1"/>
  <x:c r="K224" i="1"/>
  <x:c r="L224" i="1"/>
  <x:c r="M224" i="1"/>
  <x:c r="N224" i="1"/>
  <x:c r="O224" i="1"/>
  <x:c r="P224" i="1"/>
  <x:c r="R224" i="1"/>
  <x:c r="S224" i="1"/>
  <x:c r="H225" i="1"/>
  <x:c r="I225" i="1"/>
  <x:c r="J225" i="1"/>
  <x:c r="K225" i="1"/>
  <x:c r="L225" i="1"/>
  <x:c r="M225" i="1"/>
  <x:c r="N225" i="1"/>
  <x:c r="O225" i="1"/>
  <x:c r="P225" i="1"/>
  <x:c r="R225" i="1"/>
  <x:c r="S225" i="1"/>
  <x:c r="H226" i="1"/>
  <x:c r="I226" i="1"/>
  <x:c r="J226" i="1"/>
  <x:c r="K226" i="1"/>
  <x:c r="L226" i="1"/>
  <x:c r="M226" i="1"/>
  <x:c r="N226" i="1"/>
  <x:c r="O226" i="1"/>
  <x:c r="P226" i="1"/>
  <x:c r="R226" i="1"/>
  <x:c r="S226" i="1"/>
  <x:c r="H227" i="1"/>
  <x:c r="I227" i="1"/>
  <x:c r="J227" i="1"/>
  <x:c r="K227" i="1"/>
  <x:c r="L227" i="1"/>
  <x:c r="M227" i="1"/>
  <x:c r="N227" i="1"/>
  <x:c r="O227" i="1"/>
  <x:c r="P227" i="1"/>
  <x:c r="R227" i="1"/>
  <x:c r="S227" i="1"/>
  <x:c r="H228" i="1"/>
  <x:c r="I228" i="1"/>
  <x:c r="J228" i="1"/>
  <x:c r="K228" i="1"/>
  <x:c r="L228" i="1"/>
  <x:c r="M228" i="1"/>
  <x:c r="N228" i="1"/>
  <x:c r="O228" i="1"/>
  <x:c r="P228" i="1"/>
  <x:c r="R228" i="1"/>
  <x:c r="S228" i="1"/>
  <x:c r="H229" i="1"/>
  <x:c r="I229" i="1"/>
  <x:c r="J229" i="1"/>
  <x:c r="K229" i="1"/>
  <x:c r="L229" i="1"/>
  <x:c r="M229" i="1"/>
  <x:c r="N229" i="1"/>
  <x:c r="O229" i="1"/>
  <x:c r="P229" i="1"/>
  <x:c r="R229" i="1"/>
  <x:c r="S229" i="1"/>
  <x:c r="H230" i="1"/>
  <x:c r="I230" i="1"/>
  <x:c r="J230" i="1"/>
  <x:c r="K230" i="1"/>
  <x:c r="L230" i="1"/>
  <x:c r="M230" i="1"/>
  <x:c r="N230" i="1"/>
  <x:c r="O230" i="1"/>
  <x:c r="P230" i="1"/>
  <x:c r="R230" i="1"/>
  <x:c r="S230" i="1"/>
  <x:c r="H231" i="1"/>
  <x:c r="I231" i="1"/>
  <x:c r="J231" i="1"/>
  <x:c r="K231" i="1"/>
  <x:c r="L231" i="1"/>
  <x:c r="M231" i="1"/>
  <x:c r="N231" i="1"/>
  <x:c r="O231" i="1"/>
  <x:c r="P231" i="1"/>
  <x:c r="R231" i="1"/>
  <x:c r="S231" i="1"/>
  <x:c r="H232" i="1"/>
  <x:c r="I232" i="1"/>
  <x:c r="J232" i="1"/>
  <x:c r="K232" i="1"/>
  <x:c r="L232" i="1"/>
  <x:c r="M232" i="1"/>
  <x:c r="N232" i="1"/>
  <x:c r="O232" i="1"/>
  <x:c r="P232" i="1"/>
  <x:c r="R232" i="1"/>
  <x:c r="S232" i="1"/>
  <x:c r="H233" i="1"/>
  <x:c r="I233" i="1"/>
  <x:c r="J233" i="1"/>
  <x:c r="K233" i="1"/>
  <x:c r="L233" i="1"/>
  <x:c r="M233" i="1"/>
  <x:c r="N233" i="1"/>
  <x:c r="O233" i="1"/>
  <x:c r="P233" i="1"/>
  <x:c r="R233" i="1"/>
  <x:c r="S233" i="1"/>
  <x:c r="H234" i="1"/>
  <x:c r="I234" i="1"/>
  <x:c r="J234" i="1"/>
  <x:c r="K234" i="1"/>
  <x:c r="L234" i="1"/>
  <x:c r="M234" i="1"/>
  <x:c r="N234" i="1"/>
  <x:c r="O234" i="1"/>
  <x:c r="P234" i="1"/>
  <x:c r="R234" i="1"/>
  <x:c r="S234" i="1"/>
  <x:c r="H235" i="1"/>
  <x:c r="I235" i="1"/>
  <x:c r="J235" i="1"/>
  <x:c r="K235" i="1"/>
  <x:c r="L235" i="1"/>
  <x:c r="M235" i="1"/>
  <x:c r="N235" i="1"/>
  <x:c r="O235" i="1"/>
  <x:c r="P235" i="1"/>
  <x:c r="R235" i="1"/>
  <x:c r="S235" i="1"/>
  <x:c r="H236" i="1"/>
  <x:c r="I236" i="1"/>
  <x:c r="J236" i="1"/>
  <x:c r="K236" i="1"/>
  <x:c r="L236" i="1"/>
  <x:c r="M236" i="1"/>
  <x:c r="N236" i="1"/>
  <x:c r="O236" i="1"/>
  <x:c r="P236" i="1"/>
  <x:c r="R236" i="1"/>
  <x:c r="S236" i="1"/>
  <x:c r="H237" i="1"/>
  <x:c r="I237" i="1"/>
  <x:c r="J237" i="1"/>
  <x:c r="K237" i="1"/>
  <x:c r="L237" i="1"/>
  <x:c r="M237" i="1"/>
  <x:c r="N237" i="1"/>
  <x:c r="O237" i="1"/>
  <x:c r="P237" i="1"/>
  <x:c r="R237" i="1"/>
  <x:c r="S237" i="1"/>
  <x:c r="H238" i="1"/>
  <x:c r="I238" i="1"/>
  <x:c r="J238" i="1"/>
  <x:c r="K238" i="1"/>
  <x:c r="L238" i="1"/>
  <x:c r="M238" i="1"/>
  <x:c r="N238" i="1"/>
  <x:c r="O238" i="1"/>
  <x:c r="P238" i="1"/>
  <x:c r="R238" i="1"/>
  <x:c r="S238" i="1"/>
  <x:c r="H239" i="1"/>
  <x:c r="I239" i="1"/>
  <x:c r="J239" i="1"/>
  <x:c r="K239" i="1"/>
  <x:c r="L239" i="1"/>
  <x:c r="M239" i="1"/>
  <x:c r="N239" i="1"/>
  <x:c r="O239" i="1"/>
  <x:c r="P239" i="1"/>
  <x:c r="R239" i="1"/>
  <x:c r="S239" i="1"/>
  <x:c r="H240" i="1"/>
  <x:c r="I240" i="1"/>
  <x:c r="J240" i="1"/>
  <x:c r="K240" i="1"/>
  <x:c r="L240" i="1"/>
  <x:c r="M240" i="1"/>
  <x:c r="N240" i="1"/>
  <x:c r="O240" i="1"/>
  <x:c r="P240" i="1"/>
  <x:c r="R240" i="1"/>
  <x:c r="S240" i="1"/>
  <x:c r="H241" i="1"/>
  <x:c r="I241" i="1"/>
  <x:c r="J241" i="1"/>
  <x:c r="K241" i="1"/>
  <x:c r="L241" i="1"/>
  <x:c r="M241" i="1"/>
  <x:c r="N241" i="1"/>
  <x:c r="O241" i="1"/>
  <x:c r="P241" i="1"/>
  <x:c r="R241" i="1"/>
  <x:c r="S241" i="1"/>
  <x:c r="H242" i="1"/>
  <x:c r="I242" i="1"/>
  <x:c r="J242" i="1"/>
  <x:c r="K242" i="1"/>
  <x:c r="L242" i="1"/>
  <x:c r="M242" i="1"/>
  <x:c r="N242" i="1"/>
  <x:c r="O242" i="1"/>
  <x:c r="P242" i="1"/>
  <x:c r="R242" i="1"/>
  <x:c r="S242" i="1"/>
  <x:c r="H243" i="1"/>
  <x:c r="I243" i="1"/>
  <x:c r="J243" i="1"/>
  <x:c r="K243" i="1"/>
  <x:c r="L243" i="1"/>
  <x:c r="M243" i="1"/>
  <x:c r="N243" i="1"/>
  <x:c r="O243" i="1"/>
  <x:c r="P243" i="1"/>
  <x:c r="R243" i="1"/>
  <x:c r="S243" i="1"/>
  <x:c r="H244" i="1"/>
  <x:c r="I244" i="1"/>
  <x:c r="J244" i="1"/>
  <x:c r="K244" i="1"/>
  <x:c r="L244" i="1"/>
  <x:c r="M244" i="1"/>
  <x:c r="N244" i="1"/>
  <x:c r="O244" i="1"/>
  <x:c r="P244" i="1"/>
  <x:c r="R244" i="1"/>
  <x:c r="S244" i="1"/>
  <x:c r="H245" i="1"/>
  <x:c r="I245" i="1"/>
  <x:c r="J245" i="1"/>
  <x:c r="K245" i="1"/>
  <x:c r="L245" i="1"/>
  <x:c r="M245" i="1"/>
  <x:c r="N245" i="1"/>
  <x:c r="O245" i="1"/>
  <x:c r="P245" i="1"/>
  <x:c r="R245" i="1"/>
  <x:c r="S245" i="1"/>
  <x:c r="H246" i="1"/>
  <x:c r="I246" i="1"/>
  <x:c r="J246" i="1"/>
  <x:c r="K246" i="1"/>
  <x:c r="L246" i="1"/>
  <x:c r="M246" i="1"/>
  <x:c r="N246" i="1"/>
  <x:c r="O246" i="1"/>
  <x:c r="P246" i="1"/>
  <x:c r="R246" i="1"/>
  <x:c r="S246" i="1"/>
  <x:c r="H247" i="1"/>
  <x:c r="I247" i="1"/>
  <x:c r="J247" i="1"/>
  <x:c r="K247" i="1"/>
  <x:c r="L247" i="1"/>
  <x:c r="M247" i="1"/>
  <x:c r="N247" i="1"/>
  <x:c r="O247" i="1"/>
  <x:c r="P247" i="1"/>
  <x:c r="R247" i="1"/>
  <x:c r="S247" i="1"/>
  <x:c r="H248" i="1"/>
  <x:c r="I248" i="1"/>
  <x:c r="J248" i="1"/>
  <x:c r="K248" i="1"/>
  <x:c r="L248" i="1"/>
  <x:c r="M248" i="1"/>
  <x:c r="N248" i="1"/>
  <x:c r="O248" i="1"/>
  <x:c r="P248" i="1"/>
  <x:c r="R248" i="1"/>
  <x:c r="S248" i="1"/>
  <x:c r="H249" i="1"/>
  <x:c r="I249" i="1"/>
  <x:c r="J249" i="1"/>
  <x:c r="K249" i="1"/>
  <x:c r="L249" i="1"/>
  <x:c r="M249" i="1"/>
  <x:c r="N249" i="1"/>
  <x:c r="O249" i="1"/>
  <x:c r="P249" i="1"/>
  <x:c r="R249" i="1"/>
  <x:c r="S249" i="1"/>
  <x:c r="H250" i="1"/>
  <x:c r="I250" i="1"/>
  <x:c r="J250" i="1"/>
  <x:c r="K250" i="1"/>
  <x:c r="L250" i="1"/>
  <x:c r="M250" i="1"/>
  <x:c r="N250" i="1"/>
  <x:c r="O250" i="1"/>
  <x:c r="P250" i="1"/>
  <x:c r="R250" i="1"/>
  <x:c r="S250" i="1"/>
  <x:c r="H251" i="1"/>
  <x:c r="I251" i="1"/>
  <x:c r="J251" i="1"/>
  <x:c r="K251" i="1"/>
  <x:c r="L251" i="1"/>
  <x:c r="M251" i="1"/>
  <x:c r="N251" i="1"/>
  <x:c r="O251" i="1"/>
  <x:c r="P251" i="1"/>
  <x:c r="R251" i="1"/>
  <x:c r="S251" i="1"/>
  <x:c r="H252" i="1"/>
  <x:c r="I252" i="1"/>
  <x:c r="J252" i="1"/>
  <x:c r="K252" i="1"/>
  <x:c r="L252" i="1"/>
  <x:c r="M252" i="1"/>
  <x:c r="N252" i="1"/>
  <x:c r="O252" i="1"/>
  <x:c r="P252" i="1"/>
  <x:c r="R252" i="1"/>
  <x:c r="S252" i="1"/>
  <x:c r="H253" i="1"/>
  <x:c r="I253" i="1"/>
  <x:c r="J253" i="1"/>
  <x:c r="K253" i="1"/>
  <x:c r="L253" i="1"/>
  <x:c r="M253" i="1"/>
  <x:c r="N253" i="1"/>
  <x:c r="O253" i="1"/>
  <x:c r="P253" i="1"/>
  <x:c r="R253" i="1"/>
  <x:c r="S253" i="1"/>
  <x:c r="H254" i="1"/>
  <x:c r="I254" i="1"/>
  <x:c r="J254" i="1"/>
  <x:c r="K254" i="1"/>
  <x:c r="L254" i="1"/>
  <x:c r="M254" i="1"/>
  <x:c r="N254" i="1"/>
  <x:c r="O254" i="1"/>
  <x:c r="P254" i="1"/>
  <x:c r="R254" i="1"/>
  <x:c r="S254" i="1"/>
  <x:c r="H255" i="1"/>
  <x:c r="I255" i="1"/>
  <x:c r="J255" i="1"/>
  <x:c r="K255" i="1"/>
  <x:c r="L255" i="1"/>
  <x:c r="M255" i="1"/>
  <x:c r="N255" i="1"/>
  <x:c r="O255" i="1"/>
  <x:c r="P255" i="1"/>
  <x:c r="R255" i="1"/>
  <x:c r="S255" i="1"/>
  <x:c r="H256" i="1"/>
  <x:c r="I256" i="1"/>
  <x:c r="J256" i="1"/>
  <x:c r="K256" i="1"/>
  <x:c r="L256" i="1"/>
  <x:c r="M256" i="1"/>
  <x:c r="N256" i="1"/>
  <x:c r="O256" i="1"/>
  <x:c r="P256" i="1"/>
  <x:c r="R256" i="1"/>
  <x:c r="S256" i="1"/>
  <x:c r="H257" i="1"/>
  <x:c r="I257" i="1"/>
  <x:c r="J257" i="1"/>
  <x:c r="K257" i="1"/>
  <x:c r="L257" i="1"/>
  <x:c r="M257" i="1"/>
  <x:c r="N257" i="1"/>
  <x:c r="O257" i="1"/>
  <x:c r="P257" i="1"/>
  <x:c r="R257" i="1"/>
  <x:c r="S257" i="1"/>
  <x:c r="H258" i="1"/>
  <x:c r="I258" i="1"/>
  <x:c r="J258" i="1"/>
  <x:c r="K258" i="1"/>
  <x:c r="L258" i="1"/>
  <x:c r="M258" i="1"/>
  <x:c r="N258" i="1"/>
  <x:c r="O258" i="1"/>
  <x:c r="P258" i="1"/>
  <x:c r="R258" i="1"/>
  <x:c r="S258" i="1"/>
  <x:c r="H259" i="1"/>
  <x:c r="I259" i="1"/>
  <x:c r="J259" i="1"/>
  <x:c r="K259" i="1"/>
  <x:c r="L259" i="1"/>
  <x:c r="M259" i="1"/>
  <x:c r="N259" i="1"/>
  <x:c r="O259" i="1"/>
  <x:c r="P259" i="1"/>
  <x:c r="R259" i="1"/>
  <x:c r="S259" i="1"/>
  <x:c r="H260" i="1"/>
  <x:c r="I260" i="1"/>
  <x:c r="J260" i="1"/>
  <x:c r="K260" i="1"/>
  <x:c r="L260" i="1"/>
  <x:c r="M260" i="1"/>
  <x:c r="N260" i="1"/>
  <x:c r="O260" i="1"/>
  <x:c r="P260" i="1"/>
  <x:c r="R260" i="1"/>
  <x:c r="S260" i="1"/>
  <x:c r="H261" i="1"/>
  <x:c r="I261" i="1"/>
  <x:c r="J261" i="1"/>
  <x:c r="K261" i="1"/>
  <x:c r="L261" i="1"/>
  <x:c r="M261" i="1"/>
  <x:c r="N261" i="1"/>
  <x:c r="O261" i="1"/>
  <x:c r="P261" i="1"/>
  <x:c r="R261" i="1"/>
  <x:c r="S261" i="1"/>
  <x:c r="H262" i="1"/>
  <x:c r="I262" i="1"/>
  <x:c r="J262" i="1"/>
  <x:c r="K262" i="1"/>
  <x:c r="L262" i="1"/>
  <x:c r="M262" i="1"/>
  <x:c r="N262" i="1"/>
  <x:c r="O262" i="1"/>
  <x:c r="P262" i="1"/>
  <x:c r="R262" i="1"/>
  <x:c r="S262" i="1"/>
  <x:c r="H263" i="1"/>
  <x:c r="I263" i="1"/>
  <x:c r="J263" i="1"/>
  <x:c r="K263" i="1"/>
  <x:c r="L263" i="1"/>
  <x:c r="M263" i="1"/>
  <x:c r="N263" i="1"/>
  <x:c r="O263" i="1"/>
  <x:c r="P263" i="1"/>
  <x:c r="R263" i="1"/>
  <x:c r="S263" i="1"/>
  <x:c r="H264" i="1"/>
  <x:c r="I264" i="1"/>
  <x:c r="J264" i="1"/>
  <x:c r="K264" i="1"/>
  <x:c r="L264" i="1"/>
  <x:c r="M264" i="1"/>
  <x:c r="N264" i="1"/>
  <x:c r="O264" i="1"/>
  <x:c r="P264" i="1"/>
  <x:c r="R264" i="1"/>
  <x:c r="S264" i="1"/>
  <x:c r="H265" i="1"/>
  <x:c r="I265" i="1"/>
  <x:c r="J265" i="1"/>
  <x:c r="K265" i="1"/>
  <x:c r="L265" i="1"/>
  <x:c r="M265" i="1"/>
  <x:c r="N265" i="1"/>
  <x:c r="O265" i="1"/>
  <x:c r="P265" i="1"/>
  <x:c r="R265" i="1"/>
  <x:c r="S265" i="1"/>
  <x:c r="H266" i="1"/>
  <x:c r="I266" i="1"/>
  <x:c r="J266" i="1"/>
  <x:c r="K266" i="1"/>
  <x:c r="L266" i="1"/>
  <x:c r="M266" i="1"/>
  <x:c r="N266" i="1"/>
  <x:c r="O266" i="1"/>
  <x:c r="P266" i="1"/>
  <x:c r="R266" i="1"/>
  <x:c r="S266" i="1"/>
  <x:c r="H267" i="1"/>
  <x:c r="I267" i="1"/>
  <x:c r="J267" i="1"/>
  <x:c r="K267" i="1"/>
  <x:c r="L267" i="1"/>
  <x:c r="M267" i="1"/>
  <x:c r="N267" i="1"/>
  <x:c r="O267" i="1"/>
  <x:c r="P267" i="1"/>
  <x:c r="R267" i="1"/>
  <x:c r="S267" i="1"/>
  <x:c r="H268" i="1"/>
  <x:c r="I268" i="1"/>
  <x:c r="J268" i="1"/>
  <x:c r="K268" i="1"/>
  <x:c r="L268" i="1"/>
  <x:c r="M268" i="1"/>
  <x:c r="N268" i="1"/>
  <x:c r="O268" i="1"/>
  <x:c r="P268" i="1"/>
  <x:c r="R268" i="1"/>
  <x:c r="S268" i="1"/>
  <x:c r="H269" i="1"/>
  <x:c r="I269" i="1"/>
  <x:c r="J269" i="1"/>
  <x:c r="K269" i="1"/>
  <x:c r="L269" i="1"/>
  <x:c r="M269" i="1"/>
  <x:c r="N269" i="1"/>
  <x:c r="O269" i="1"/>
  <x:c r="P269" i="1"/>
  <x:c r="R269" i="1"/>
  <x:c r="S269" i="1"/>
  <x:c r="H270" i="1"/>
  <x:c r="I270" i="1"/>
  <x:c r="J270" i="1"/>
  <x:c r="K270" i="1"/>
  <x:c r="L270" i="1"/>
  <x:c r="M270" i="1"/>
  <x:c r="N270" i="1"/>
  <x:c r="O270" i="1"/>
  <x:c r="P270" i="1"/>
  <x:c r="R270" i="1"/>
  <x:c r="S270" i="1"/>
  <x:c r="H271" i="1"/>
  <x:c r="I271" i="1"/>
  <x:c r="J271" i="1"/>
  <x:c r="K271" i="1"/>
  <x:c r="L271" i="1"/>
  <x:c r="M271" i="1"/>
  <x:c r="N271" i="1"/>
  <x:c r="O271" i="1"/>
  <x:c r="P271" i="1"/>
  <x:c r="R271" i="1"/>
  <x:c r="S271" i="1"/>
  <x:c r="H272" i="1"/>
  <x:c r="I272" i="1"/>
  <x:c r="J272" i="1"/>
  <x:c r="K272" i="1"/>
  <x:c r="L272" i="1"/>
  <x:c r="M272" i="1"/>
  <x:c r="N272" i="1"/>
  <x:c r="O272" i="1"/>
  <x:c r="P272" i="1"/>
  <x:c r="R272" i="1"/>
  <x:c r="S272" i="1"/>
  <x:c r="H273" i="1"/>
  <x:c r="I273" i="1"/>
  <x:c r="J273" i="1"/>
  <x:c r="K273" i="1"/>
  <x:c r="L273" i="1"/>
  <x:c r="M273" i="1"/>
  <x:c r="N273" i="1"/>
  <x:c r="O273" i="1"/>
  <x:c r="P273" i="1"/>
  <x:c r="R273" i="1"/>
  <x:c r="S273" i="1"/>
  <x:c r="H274" i="1"/>
  <x:c r="I274" i="1"/>
  <x:c r="J274" i="1"/>
  <x:c r="K274" i="1"/>
  <x:c r="L274" i="1"/>
  <x:c r="M274" i="1"/>
  <x:c r="N274" i="1"/>
  <x:c r="O274" i="1"/>
  <x:c r="P274" i="1"/>
  <x:c r="R274" i="1"/>
  <x:c r="S274" i="1"/>
  <x:c r="H275" i="1"/>
  <x:c r="I275" i="1"/>
  <x:c r="J275" i="1"/>
  <x:c r="K275" i="1"/>
  <x:c r="L275" i="1"/>
  <x:c r="M275" i="1"/>
  <x:c r="N275" i="1"/>
  <x:c r="O275" i="1"/>
  <x:c r="P275" i="1"/>
  <x:c r="R275" i="1"/>
  <x:c r="S275" i="1"/>
  <x:c r="H276" i="1"/>
  <x:c r="I276" i="1"/>
  <x:c r="J276" i="1"/>
  <x:c r="K276" i="1"/>
  <x:c r="L276" i="1"/>
  <x:c r="M276" i="1"/>
  <x:c r="N276" i="1"/>
  <x:c r="O276" i="1"/>
  <x:c r="P276" i="1"/>
  <x:c r="R276" i="1"/>
  <x:c r="S276" i="1"/>
  <x:c r="H277" i="1"/>
  <x:c r="I277" i="1"/>
  <x:c r="J277" i="1"/>
  <x:c r="K277" i="1"/>
  <x:c r="L277" i="1"/>
  <x:c r="M277" i="1"/>
  <x:c r="N277" i="1"/>
  <x:c r="O277" i="1"/>
  <x:c r="P277" i="1"/>
  <x:c r="R277" i="1"/>
  <x:c r="S277" i="1"/>
  <x:c r="H278" i="1"/>
  <x:c r="I278" i="1"/>
  <x:c r="J278" i="1"/>
  <x:c r="K278" i="1"/>
  <x:c r="L278" i="1"/>
  <x:c r="M278" i="1"/>
  <x:c r="N278" i="1"/>
  <x:c r="O278" i="1"/>
  <x:c r="P278" i="1"/>
  <x:c r="R278" i="1"/>
  <x:c r="S278" i="1"/>
  <x:c r="H279" i="1"/>
  <x:c r="I279" i="1"/>
  <x:c r="J279" i="1"/>
  <x:c r="K279" i="1"/>
  <x:c r="L279" i="1"/>
  <x:c r="M279" i="1"/>
  <x:c r="N279" i="1"/>
  <x:c r="O279" i="1"/>
  <x:c r="P279" i="1"/>
  <x:c r="R279" i="1"/>
  <x:c r="S279" i="1"/>
  <x:c r="H280" i="1"/>
  <x:c r="I280" i="1"/>
  <x:c r="J280" i="1"/>
  <x:c r="K280" i="1"/>
  <x:c r="L280" i="1"/>
  <x:c r="M280" i="1"/>
  <x:c r="N280" i="1"/>
  <x:c r="O280" i="1"/>
  <x:c r="P280" i="1"/>
  <x:c r="R280" i="1"/>
  <x:c r="S280" i="1"/>
  <x:c r="H281" i="1"/>
  <x:c r="I281" i="1"/>
  <x:c r="J281" i="1"/>
  <x:c r="K281" i="1"/>
  <x:c r="L281" i="1"/>
  <x:c r="M281" i="1"/>
  <x:c r="N281" i="1"/>
  <x:c r="O281" i="1"/>
  <x:c r="P281" i="1"/>
  <x:c r="R281" i="1"/>
  <x:c r="S281" i="1"/>
  <x:c r="H282" i="1"/>
  <x:c r="I282" i="1"/>
  <x:c r="J282" i="1"/>
  <x:c r="K282" i="1"/>
  <x:c r="L282" i="1"/>
  <x:c r="M282" i="1"/>
  <x:c r="N282" i="1"/>
  <x:c r="O282" i="1"/>
  <x:c r="P282" i="1"/>
  <x:c r="R282" i="1"/>
  <x:c r="S282" i="1"/>
  <x:c r="H283" i="1"/>
  <x:c r="I283" i="1"/>
  <x:c r="J283" i="1"/>
  <x:c r="K283" i="1"/>
  <x:c r="L283" i="1"/>
  <x:c r="M283" i="1"/>
  <x:c r="N283" i="1"/>
  <x:c r="O283" i="1"/>
  <x:c r="P283" i="1"/>
  <x:c r="R283" i="1"/>
  <x:c r="S283" i="1"/>
  <x:c r="H284" i="1"/>
  <x:c r="I284" i="1"/>
  <x:c r="J284" i="1"/>
  <x:c r="K284" i="1"/>
  <x:c r="L284" i="1"/>
  <x:c r="M284" i="1"/>
  <x:c r="N284" i="1"/>
  <x:c r="O284" i="1"/>
  <x:c r="P284" i="1"/>
  <x:c r="R284" i="1"/>
  <x:c r="S284" i="1"/>
  <x:c r="H285" i="1"/>
  <x:c r="I285" i="1"/>
  <x:c r="J285" i="1"/>
  <x:c r="K285" i="1"/>
  <x:c r="L285" i="1"/>
  <x:c r="M285" i="1"/>
  <x:c r="N285" i="1"/>
  <x:c r="O285" i="1"/>
  <x:c r="P285" i="1"/>
  <x:c r="R285" i="1"/>
  <x:c r="S285" i="1"/>
  <x:c r="H286" i="1"/>
  <x:c r="I286" i="1"/>
  <x:c r="J286" i="1"/>
  <x:c r="K286" i="1"/>
  <x:c r="L286" i="1"/>
  <x:c r="M286" i="1"/>
  <x:c r="N286" i="1"/>
  <x:c r="O286" i="1"/>
  <x:c r="P286" i="1"/>
  <x:c r="R286" i="1"/>
  <x:c r="S286" i="1"/>
  <x:c r="H287" i="1"/>
  <x:c r="I287" i="1"/>
  <x:c r="J287" i="1"/>
  <x:c r="K287" i="1"/>
  <x:c r="L287" i="1"/>
  <x:c r="M287" i="1"/>
  <x:c r="N287" i="1"/>
  <x:c r="O287" i="1"/>
  <x:c r="P287" i="1"/>
  <x:c r="R287" i="1"/>
  <x:c r="S287" i="1"/>
  <x:c r="H288" i="1"/>
  <x:c r="I288" i="1"/>
  <x:c r="J288" i="1"/>
  <x:c r="K288" i="1"/>
  <x:c r="L288" i="1"/>
  <x:c r="M288" i="1"/>
  <x:c r="N288" i="1"/>
  <x:c r="O288" i="1"/>
  <x:c r="P288" i="1"/>
  <x:c r="R288" i="1"/>
  <x:c r="S288" i="1"/>
  <x:c r="H289" i="1"/>
  <x:c r="I289" i="1"/>
  <x:c r="J289" i="1"/>
  <x:c r="K289" i="1"/>
  <x:c r="L289" i="1"/>
  <x:c r="M289" i="1"/>
  <x:c r="N289" i="1"/>
  <x:c r="O289" i="1"/>
  <x:c r="P289" i="1"/>
  <x:c r="R289" i="1"/>
  <x:c r="S289" i="1"/>
  <x:c r="H290" i="1"/>
  <x:c r="I290" i="1"/>
  <x:c r="J290" i="1"/>
  <x:c r="K290" i="1"/>
  <x:c r="L290" i="1"/>
  <x:c r="M290" i="1"/>
  <x:c r="N290" i="1"/>
  <x:c r="O290" i="1"/>
  <x:c r="P290" i="1"/>
  <x:c r="R290" i="1"/>
  <x:c r="S290" i="1"/>
  <x:c r="H291" i="1"/>
  <x:c r="I291" i="1"/>
  <x:c r="J291" i="1"/>
  <x:c r="K291" i="1"/>
  <x:c r="L291" i="1"/>
  <x:c r="M291" i="1"/>
  <x:c r="N291" i="1"/>
  <x:c r="O291" i="1"/>
  <x:c r="P291" i="1"/>
  <x:c r="R291" i="1"/>
  <x:c r="S291" i="1"/>
  <x:c r="H292" i="1"/>
  <x:c r="I292" i="1"/>
  <x:c r="J292" i="1"/>
  <x:c r="K292" i="1"/>
  <x:c r="L292" i="1"/>
  <x:c r="M292" i="1"/>
  <x:c r="N292" i="1"/>
  <x:c r="O292" i="1"/>
  <x:c r="P292" i="1"/>
  <x:c r="R292" i="1"/>
  <x:c r="S292" i="1"/>
  <x:c r="H293" i="1"/>
  <x:c r="I293" i="1"/>
  <x:c r="J293" i="1"/>
  <x:c r="K293" i="1"/>
  <x:c r="L293" i="1"/>
  <x:c r="M293" i="1"/>
  <x:c r="N293" i="1"/>
  <x:c r="O293" i="1"/>
  <x:c r="P293" i="1"/>
  <x:c r="R293" i="1"/>
  <x:c r="S293" i="1"/>
  <x:c r="H294" i="1"/>
  <x:c r="I294" i="1"/>
  <x:c r="J294" i="1"/>
  <x:c r="K294" i="1"/>
  <x:c r="L294" i="1"/>
  <x:c r="M294" i="1"/>
  <x:c r="N294" i="1"/>
  <x:c r="O294" i="1"/>
  <x:c r="P294" i="1"/>
  <x:c r="R294" i="1"/>
  <x:c r="S294" i="1"/>
  <x:c r="H295" i="1"/>
  <x:c r="I295" i="1"/>
  <x:c r="J295" i="1"/>
  <x:c r="K295" i="1"/>
  <x:c r="L295" i="1"/>
  <x:c r="M295" i="1"/>
  <x:c r="N295" i="1"/>
  <x:c r="O295" i="1"/>
  <x:c r="P295" i="1"/>
  <x:c r="R295" i="1"/>
  <x:c r="S295" i="1"/>
  <x:c r="H296" i="1"/>
  <x:c r="I296" i="1"/>
  <x:c r="J296" i="1"/>
  <x:c r="K296" i="1"/>
  <x:c r="L296" i="1"/>
  <x:c r="M296" i="1"/>
  <x:c r="N296" i="1"/>
  <x:c r="O296" i="1"/>
  <x:c r="P296" i="1"/>
  <x:c r="R296" i="1"/>
  <x:c r="S296" i="1"/>
  <x:c r="H297" i="1"/>
  <x:c r="I297" i="1"/>
  <x:c r="J297" i="1"/>
  <x:c r="K297" i="1"/>
  <x:c r="L297" i="1"/>
  <x:c r="M297" i="1"/>
  <x:c r="N297" i="1"/>
  <x:c r="O297" i="1"/>
  <x:c r="P297" i="1"/>
  <x:c r="R297" i="1"/>
  <x:c r="S297" i="1"/>
  <x:c r="H298" i="1"/>
  <x:c r="I298" i="1"/>
  <x:c r="J298" i="1"/>
  <x:c r="K298" i="1"/>
  <x:c r="L298" i="1"/>
  <x:c r="M298" i="1"/>
  <x:c r="N298" i="1"/>
  <x:c r="O298" i="1"/>
  <x:c r="P298" i="1"/>
  <x:c r="R298" i="1"/>
  <x:c r="S298" i="1"/>
  <x:c r="H299" i="1"/>
  <x:c r="I299" i="1"/>
  <x:c r="J299" i="1"/>
  <x:c r="K299" i="1"/>
  <x:c r="L299" i="1"/>
  <x:c r="M299" i="1"/>
  <x:c r="N299" i="1"/>
  <x:c r="O299" i="1"/>
  <x:c r="P299" i="1"/>
  <x:c r="R299" i="1"/>
  <x:c r="S299" i="1"/>
  <x:c r="H300" i="1"/>
  <x:c r="I300" i="1"/>
  <x:c r="J300" i="1"/>
  <x:c r="K300" i="1"/>
  <x:c r="L300" i="1"/>
  <x:c r="M300" i="1"/>
  <x:c r="N300" i="1"/>
  <x:c r="O300" i="1"/>
  <x:c r="P300" i="1"/>
  <x:c r="R300" i="1"/>
  <x:c r="S300" i="1"/>
  <x:c r="H301" i="1"/>
  <x:c r="I301" i="1"/>
  <x:c r="J301" i="1"/>
  <x:c r="K301" i="1"/>
  <x:c r="L301" i="1"/>
  <x:c r="M301" i="1"/>
  <x:c r="N301" i="1"/>
  <x:c r="O301" i="1"/>
  <x:c r="P301" i="1"/>
  <x:c r="R301" i="1"/>
  <x:c r="S301" i="1"/>
  <x:c r="H302" i="1"/>
  <x:c r="I302" i="1"/>
  <x:c r="J302" i="1"/>
  <x:c r="K302" i="1"/>
  <x:c r="L302" i="1"/>
  <x:c r="M302" i="1"/>
  <x:c r="N302" i="1"/>
  <x:c r="O302" i="1"/>
  <x:c r="P302" i="1"/>
  <x:c r="R302" i="1"/>
  <x:c r="S302" i="1"/>
  <x:c r="H303" i="1"/>
  <x:c r="I303" i="1"/>
  <x:c r="J303" i="1"/>
  <x:c r="K303" i="1"/>
  <x:c r="L303" i="1"/>
  <x:c r="M303" i="1"/>
  <x:c r="N303" i="1"/>
  <x:c r="O303" i="1"/>
  <x:c r="P303" i="1"/>
  <x:c r="R303" i="1"/>
  <x:c r="S303" i="1"/>
  <x:c r="H304" i="1"/>
  <x:c r="I304" i="1"/>
  <x:c r="J304" i="1"/>
  <x:c r="K304" i="1"/>
  <x:c r="L304" i="1"/>
  <x:c r="M304" i="1"/>
  <x:c r="N304" i="1"/>
  <x:c r="O304" i="1"/>
  <x:c r="P304" i="1"/>
  <x:c r="R304" i="1"/>
  <x:c r="S304" i="1"/>
  <x:c r="H305" i="1"/>
  <x:c r="I305" i="1"/>
  <x:c r="J305" i="1"/>
  <x:c r="K305" i="1"/>
  <x:c r="L305" i="1"/>
  <x:c r="M305" i="1"/>
  <x:c r="N305" i="1"/>
  <x:c r="O305" i="1"/>
  <x:c r="P305" i="1"/>
  <x:c r="R305" i="1"/>
  <x:c r="S305" i="1"/>
  <x:c r="H306" i="1"/>
  <x:c r="I306" i="1"/>
  <x:c r="J306" i="1"/>
  <x:c r="K306" i="1"/>
  <x:c r="L306" i="1"/>
  <x:c r="M306" i="1"/>
  <x:c r="N306" i="1"/>
  <x:c r="O306" i="1"/>
  <x:c r="P306" i="1"/>
  <x:c r="R306" i="1"/>
  <x:c r="S306" i="1"/>
  <x:c r="H307" i="1"/>
  <x:c r="I307" i="1"/>
  <x:c r="J307" i="1"/>
  <x:c r="K307" i="1"/>
  <x:c r="L307" i="1"/>
  <x:c r="M307" i="1"/>
  <x:c r="N307" i="1"/>
  <x:c r="O307" i="1"/>
  <x:c r="P307" i="1"/>
  <x:c r="R307" i="1"/>
  <x:c r="S307" i="1"/>
  <x:c r="H308" i="1"/>
  <x:c r="I308" i="1"/>
  <x:c r="J308" i="1"/>
  <x:c r="K308" i="1"/>
  <x:c r="L308" i="1"/>
  <x:c r="M308" i="1"/>
  <x:c r="N308" i="1"/>
  <x:c r="O308" i="1"/>
  <x:c r="P308" i="1"/>
  <x:c r="R308" i="1"/>
  <x:c r="S308" i="1"/>
  <x:c r="H309" i="1"/>
  <x:c r="I309" i="1"/>
  <x:c r="J309" i="1"/>
  <x:c r="K309" i="1"/>
  <x:c r="L309" i="1"/>
  <x:c r="M309" i="1"/>
  <x:c r="N309" i="1"/>
  <x:c r="O309" i="1"/>
  <x:c r="P309" i="1"/>
  <x:c r="R309" i="1"/>
  <x:c r="S309" i="1"/>
  <x:c r="H310" i="1"/>
  <x:c r="I310" i="1"/>
  <x:c r="J310" i="1"/>
  <x:c r="K310" i="1"/>
  <x:c r="L310" i="1"/>
  <x:c r="M310" i="1"/>
  <x:c r="N310" i="1"/>
  <x:c r="O310" i="1"/>
  <x:c r="P310" i="1"/>
  <x:c r="R310" i="1"/>
  <x:c r="S310" i="1"/>
  <x:c r="H311" i="1"/>
  <x:c r="I311" i="1"/>
  <x:c r="J311" i="1"/>
  <x:c r="K311" i="1"/>
  <x:c r="L311" i="1"/>
  <x:c r="M311" i="1"/>
  <x:c r="N311" i="1"/>
  <x:c r="O311" i="1"/>
  <x:c r="P311" i="1"/>
  <x:c r="R311" i="1"/>
  <x:c r="S311" i="1"/>
  <x:c r="H312" i="1"/>
  <x:c r="I312" i="1"/>
  <x:c r="J312" i="1"/>
  <x:c r="K312" i="1"/>
  <x:c r="L312" i="1"/>
  <x:c r="M312" i="1"/>
  <x:c r="N312" i="1"/>
  <x:c r="O312" i="1"/>
  <x:c r="P312" i="1"/>
  <x:c r="R312" i="1"/>
  <x:c r="S312" i="1"/>
  <x:c r="H313" i="1"/>
  <x:c r="I313" i="1"/>
  <x:c r="J313" i="1"/>
  <x:c r="K313" i="1"/>
  <x:c r="L313" i="1"/>
  <x:c r="M313" i="1"/>
  <x:c r="N313" i="1"/>
  <x:c r="O313" i="1"/>
  <x:c r="P313" i="1"/>
  <x:c r="R313" i="1"/>
  <x:c r="S313" i="1"/>
  <x:c r="H314" i="1"/>
  <x:c r="I314" i="1"/>
  <x:c r="J314" i="1"/>
  <x:c r="K314" i="1"/>
  <x:c r="L314" i="1"/>
  <x:c r="M314" i="1"/>
  <x:c r="N314" i="1"/>
  <x:c r="O314" i="1"/>
  <x:c r="P314" i="1"/>
  <x:c r="R314" i="1"/>
  <x:c r="S314" i="1"/>
  <x:c r="H315" i="1"/>
  <x:c r="I315" i="1"/>
  <x:c r="J315" i="1"/>
  <x:c r="K315" i="1"/>
  <x:c r="L315" i="1"/>
  <x:c r="M315" i="1"/>
  <x:c r="N315" i="1"/>
  <x:c r="O315" i="1"/>
  <x:c r="P315" i="1"/>
  <x:c r="R315" i="1"/>
  <x:c r="S315" i="1"/>
  <x:c r="H316" i="1"/>
  <x:c r="I316" i="1"/>
  <x:c r="J316" i="1"/>
  <x:c r="K316" i="1"/>
  <x:c r="L316" i="1"/>
  <x:c r="M316" i="1"/>
  <x:c r="N316" i="1"/>
  <x:c r="O316" i="1"/>
  <x:c r="P316" i="1"/>
  <x:c r="R316" i="1"/>
  <x:c r="S316" i="1"/>
  <x:c r="H317" i="1"/>
  <x:c r="I317" i="1"/>
  <x:c r="J317" i="1"/>
  <x:c r="K317" i="1"/>
  <x:c r="L317" i="1"/>
  <x:c r="M317" i="1"/>
  <x:c r="N317" i="1"/>
  <x:c r="O317" i="1"/>
  <x:c r="P317" i="1"/>
  <x:c r="R317" i="1"/>
  <x:c r="S317" i="1"/>
  <x:c r="H318" i="1"/>
  <x:c r="I318" i="1"/>
  <x:c r="J318" i="1"/>
  <x:c r="K318" i="1"/>
  <x:c r="L318" i="1"/>
  <x:c r="M318" i="1"/>
  <x:c r="N318" i="1"/>
  <x:c r="O318" i="1"/>
  <x:c r="P318" i="1"/>
  <x:c r="R318" i="1"/>
  <x:c r="S318" i="1"/>
  <x:c r="H319" i="1"/>
  <x:c r="I319" i="1"/>
  <x:c r="J319" i="1"/>
  <x:c r="K319" i="1"/>
  <x:c r="L319" i="1"/>
  <x:c r="M319" i="1"/>
  <x:c r="N319" i="1"/>
  <x:c r="O319" i="1"/>
  <x:c r="P319" i="1"/>
  <x:c r="R319" i="1"/>
  <x:c r="S319" i="1"/>
  <x:c r="H320" i="1"/>
  <x:c r="I320" i="1"/>
  <x:c r="J320" i="1"/>
  <x:c r="K320" i="1"/>
  <x:c r="L320" i="1"/>
  <x:c r="M320" i="1"/>
  <x:c r="N320" i="1"/>
  <x:c r="O320" i="1"/>
  <x:c r="P320" i="1"/>
  <x:c r="R320" i="1"/>
  <x:c r="S320" i="1"/>
  <x:c r="H321" i="1"/>
  <x:c r="I321" i="1"/>
  <x:c r="J321" i="1"/>
  <x:c r="K321" i="1"/>
  <x:c r="L321" i="1"/>
  <x:c r="M321" i="1"/>
  <x:c r="N321" i="1"/>
  <x:c r="O321" i="1"/>
  <x:c r="P321" i="1"/>
  <x:c r="R321" i="1"/>
  <x:c r="S321" i="1"/>
  <x:c r="H322" i="1"/>
  <x:c r="I322" i="1"/>
  <x:c r="J322" i="1"/>
  <x:c r="K322" i="1"/>
  <x:c r="L322" i="1"/>
  <x:c r="M322" i="1"/>
  <x:c r="N322" i="1"/>
  <x:c r="O322" i="1"/>
  <x:c r="P322" i="1"/>
  <x:c r="R322" i="1"/>
  <x:c r="S322" i="1"/>
  <x:c r="H323" i="1"/>
  <x:c r="I323" i="1"/>
  <x:c r="J323" i="1"/>
  <x:c r="K323" i="1"/>
  <x:c r="L323" i="1"/>
  <x:c r="M323" i="1"/>
  <x:c r="N323" i="1"/>
  <x:c r="O323" i="1"/>
  <x:c r="P323" i="1"/>
  <x:c r="R323" i="1"/>
  <x:c r="S323" i="1"/>
  <x:c r="H324" i="1"/>
  <x:c r="I324" i="1"/>
  <x:c r="J324" i="1"/>
  <x:c r="K324" i="1"/>
  <x:c r="L324" i="1"/>
  <x:c r="M324" i="1"/>
  <x:c r="N324" i="1"/>
  <x:c r="O324" i="1"/>
  <x:c r="P324" i="1"/>
  <x:c r="R324" i="1"/>
  <x:c r="S324" i="1"/>
  <x:c r="H325" i="1"/>
  <x:c r="I325" i="1"/>
  <x:c r="J325" i="1"/>
  <x:c r="K325" i="1"/>
  <x:c r="L325" i="1"/>
  <x:c r="M325" i="1"/>
  <x:c r="N325" i="1"/>
  <x:c r="O325" i="1"/>
  <x:c r="P325" i="1"/>
  <x:c r="R325" i="1"/>
  <x:c r="S325" i="1"/>
  <x:c r="H326" i="1"/>
  <x:c r="I326" i="1"/>
  <x:c r="J326" i="1"/>
  <x:c r="K326" i="1"/>
  <x:c r="L326" i="1"/>
  <x:c r="M326" i="1"/>
  <x:c r="N326" i="1"/>
  <x:c r="O326" i="1"/>
  <x:c r="P326" i="1"/>
  <x:c r="R326" i="1"/>
  <x:c r="S326" i="1"/>
  <x:c r="H327" i="1"/>
  <x:c r="I327" i="1"/>
  <x:c r="J327" i="1"/>
  <x:c r="K327" i="1"/>
  <x:c r="L327" i="1"/>
  <x:c r="M327" i="1"/>
  <x:c r="N327" i="1"/>
  <x:c r="O327" i="1"/>
  <x:c r="P327" i="1"/>
  <x:c r="R327" i="1"/>
  <x:c r="S327" i="1"/>
  <x:c r="H328" i="1"/>
  <x:c r="I328" i="1"/>
  <x:c r="J328" i="1"/>
  <x:c r="K328" i="1"/>
  <x:c r="L328" i="1"/>
  <x:c r="M328" i="1"/>
  <x:c r="N328" i="1"/>
  <x:c r="O328" i="1"/>
  <x:c r="P328" i="1"/>
  <x:c r="R328" i="1"/>
  <x:c r="S328" i="1"/>
  <x:c r="H329" i="1"/>
  <x:c r="I329" i="1"/>
  <x:c r="J329" i="1"/>
  <x:c r="K329" i="1"/>
  <x:c r="L329" i="1"/>
  <x:c r="M329" i="1"/>
  <x:c r="N329" i="1"/>
  <x:c r="O329" i="1"/>
  <x:c r="P329" i="1"/>
  <x:c r="R329" i="1"/>
  <x:c r="S329" i="1"/>
  <x:c r="H330" i="1"/>
  <x:c r="I330" i="1"/>
  <x:c r="J330" i="1"/>
  <x:c r="K330" i="1"/>
  <x:c r="L330" i="1"/>
  <x:c r="M330" i="1"/>
  <x:c r="N330" i="1"/>
  <x:c r="O330" i="1"/>
  <x:c r="P330" i="1"/>
  <x:c r="R330" i="1"/>
  <x:c r="S330" i="1"/>
  <x:c r="H331" i="1"/>
  <x:c r="I331" i="1"/>
  <x:c r="J331" i="1"/>
  <x:c r="K331" i="1"/>
  <x:c r="L331" i="1"/>
  <x:c r="M331" i="1"/>
  <x:c r="N331" i="1"/>
  <x:c r="O331" i="1"/>
  <x:c r="P331" i="1"/>
  <x:c r="R331" i="1"/>
  <x:c r="S331" i="1"/>
  <x:c r="H332" i="1"/>
  <x:c r="I332" i="1"/>
  <x:c r="J332" i="1"/>
  <x:c r="K332" i="1"/>
  <x:c r="L332" i="1"/>
  <x:c r="M332" i="1"/>
  <x:c r="N332" i="1"/>
  <x:c r="O332" i="1"/>
  <x:c r="P332" i="1"/>
  <x:c r="R332" i="1"/>
  <x:c r="S332" i="1"/>
  <x:c r="H333" i="1"/>
  <x:c r="I333" i="1"/>
  <x:c r="J333" i="1"/>
  <x:c r="K333" i="1"/>
  <x:c r="L333" i="1"/>
  <x:c r="M333" i="1"/>
  <x:c r="N333" i="1"/>
  <x:c r="O333" i="1"/>
  <x:c r="P333" i="1"/>
  <x:c r="R333" i="1"/>
  <x:c r="S333" i="1"/>
  <x:c r="H334" i="1"/>
  <x:c r="I334" i="1"/>
  <x:c r="J334" i="1"/>
  <x:c r="K334" i="1"/>
  <x:c r="L334" i="1"/>
  <x:c r="M334" i="1"/>
  <x:c r="N334" i="1"/>
  <x:c r="O334" i="1"/>
  <x:c r="P334" i="1"/>
  <x:c r="R334" i="1"/>
  <x:c r="S334" i="1"/>
  <x:c r="H335" i="1"/>
  <x:c r="I335" i="1"/>
  <x:c r="J335" i="1"/>
  <x:c r="K335" i="1"/>
  <x:c r="L335" i="1"/>
  <x:c r="M335" i="1"/>
  <x:c r="N335" i="1"/>
  <x:c r="O335" i="1"/>
  <x:c r="P335" i="1"/>
  <x:c r="R335" i="1"/>
  <x:c r="S335" i="1"/>
  <x:c r="H336" i="1"/>
  <x:c r="I336" i="1"/>
  <x:c r="J336" i="1"/>
  <x:c r="K336" i="1"/>
  <x:c r="L336" i="1"/>
  <x:c r="M336" i="1"/>
  <x:c r="N336" i="1"/>
  <x:c r="O336" i="1"/>
  <x:c r="P336" i="1"/>
  <x:c r="R336" i="1"/>
  <x:c r="S336" i="1"/>
  <x:c r="H337" i="1"/>
  <x:c r="I337" i="1"/>
  <x:c r="J337" i="1"/>
  <x:c r="K337" i="1"/>
  <x:c r="L337" i="1"/>
  <x:c r="M337" i="1"/>
  <x:c r="N337" i="1"/>
  <x:c r="O337" i="1"/>
  <x:c r="P337" i="1"/>
  <x:c r="R337" i="1"/>
  <x:c r="S337" i="1"/>
  <x:c r="H338" i="1"/>
  <x:c r="I338" i="1"/>
  <x:c r="J338" i="1"/>
  <x:c r="K338" i="1"/>
  <x:c r="L338" i="1"/>
  <x:c r="M338" i="1"/>
  <x:c r="N338" i="1"/>
  <x:c r="O338" i="1"/>
  <x:c r="P338" i="1"/>
  <x:c r="R338" i="1"/>
  <x:c r="S338" i="1"/>
  <x:c r="H339" i="1"/>
  <x:c r="I339" i="1"/>
  <x:c r="J339" i="1"/>
  <x:c r="K339" i="1"/>
  <x:c r="L339" i="1"/>
  <x:c r="M339" i="1"/>
  <x:c r="N339" i="1"/>
  <x:c r="O339" i="1"/>
  <x:c r="P339" i="1"/>
  <x:c r="R339" i="1"/>
  <x:c r="S339" i="1"/>
  <x:c r="H340" i="1"/>
  <x:c r="I340" i="1"/>
  <x:c r="J340" i="1"/>
  <x:c r="K340" i="1"/>
  <x:c r="L340" i="1"/>
  <x:c r="M340" i="1"/>
  <x:c r="N340" i="1"/>
  <x:c r="O340" i="1"/>
  <x:c r="P340" i="1"/>
  <x:c r="R340" i="1"/>
  <x:c r="S340" i="1"/>
  <x:c r="H341" i="1"/>
  <x:c r="I341" i="1"/>
  <x:c r="J341" i="1"/>
  <x:c r="K341" i="1"/>
  <x:c r="L341" i="1"/>
  <x:c r="M341" i="1"/>
  <x:c r="N341" i="1"/>
  <x:c r="O341" i="1"/>
  <x:c r="P341" i="1"/>
  <x:c r="R341" i="1"/>
  <x:c r="S341" i="1"/>
  <x:c r="H342" i="1"/>
  <x:c r="I342" i="1"/>
  <x:c r="J342" i="1"/>
  <x:c r="K342" i="1"/>
  <x:c r="L342" i="1"/>
  <x:c r="M342" i="1"/>
  <x:c r="N342" i="1"/>
  <x:c r="O342" i="1"/>
  <x:c r="P342" i="1"/>
  <x:c r="R342" i="1"/>
  <x:c r="S342" i="1"/>
  <x:c r="H343" i="1"/>
  <x:c r="I343" i="1"/>
  <x:c r="J343" i="1"/>
  <x:c r="K343" i="1"/>
  <x:c r="L343" i="1"/>
  <x:c r="M343" i="1"/>
  <x:c r="N343" i="1"/>
  <x:c r="O343" i="1"/>
  <x:c r="P343" i="1"/>
  <x:c r="R343" i="1"/>
  <x:c r="S343" i="1"/>
  <x:c r="H344" i="1"/>
  <x:c r="I344" i="1"/>
  <x:c r="J344" i="1"/>
  <x:c r="K344" i="1"/>
  <x:c r="L344" i="1"/>
  <x:c r="M344" i="1"/>
  <x:c r="N344" i="1"/>
  <x:c r="O344" i="1"/>
  <x:c r="P344" i="1"/>
  <x:c r="R344" i="1"/>
  <x:c r="S344" i="1"/>
  <x:c r="H345" i="1"/>
  <x:c r="I345" i="1"/>
  <x:c r="J345" i="1"/>
  <x:c r="K345" i="1"/>
  <x:c r="L345" i="1"/>
  <x:c r="M345" i="1"/>
  <x:c r="N345" i="1"/>
  <x:c r="O345" i="1"/>
  <x:c r="P345" i="1"/>
  <x:c r="R345" i="1"/>
  <x:c r="S345" i="1"/>
  <x:c r="H346" i="1"/>
  <x:c r="I346" i="1"/>
  <x:c r="J346" i="1"/>
  <x:c r="K346" i="1"/>
  <x:c r="L346" i="1"/>
  <x:c r="M346" i="1"/>
  <x:c r="N346" i="1"/>
  <x:c r="O346" i="1"/>
  <x:c r="P346" i="1"/>
  <x:c r="R346" i="1"/>
  <x:c r="S346" i="1"/>
  <x:c r="H347" i="1"/>
  <x:c r="I347" i="1"/>
  <x:c r="J347" i="1"/>
  <x:c r="K347" i="1"/>
  <x:c r="L347" i="1"/>
  <x:c r="M347" i="1"/>
  <x:c r="N347" i="1"/>
  <x:c r="O347" i="1"/>
  <x:c r="P347" i="1"/>
  <x:c r="R347" i="1"/>
  <x:c r="S347" i="1"/>
  <x:c r="H348" i="1"/>
  <x:c r="I348" i="1"/>
  <x:c r="J348" i="1"/>
  <x:c r="K348" i="1"/>
  <x:c r="L348" i="1"/>
  <x:c r="M348" i="1"/>
  <x:c r="N348" i="1"/>
  <x:c r="O348" i="1"/>
  <x:c r="P348" i="1"/>
  <x:c r="R348" i="1"/>
  <x:c r="S348" i="1"/>
  <x:c r="H349" i="1"/>
  <x:c r="I349" i="1"/>
  <x:c r="J349" i="1"/>
  <x:c r="K349" i="1"/>
  <x:c r="L349" i="1"/>
  <x:c r="M349" i="1"/>
  <x:c r="N349" i="1"/>
  <x:c r="O349" i="1"/>
  <x:c r="P349" i="1"/>
  <x:c r="R349" i="1"/>
  <x:c r="S349" i="1"/>
  <x:c r="H350" i="1"/>
  <x:c r="I350" i="1"/>
  <x:c r="J350" i="1"/>
  <x:c r="K350" i="1"/>
  <x:c r="L350" i="1"/>
  <x:c r="M350" i="1"/>
  <x:c r="N350" i="1"/>
  <x:c r="O350" i="1"/>
  <x:c r="P350" i="1"/>
  <x:c r="R350" i="1"/>
  <x:c r="S350" i="1"/>
  <x:c r="H351" i="1"/>
  <x:c r="I351" i="1"/>
  <x:c r="J351" i="1"/>
  <x:c r="K351" i="1"/>
  <x:c r="L351" i="1"/>
  <x:c r="M351" i="1"/>
  <x:c r="N351" i="1"/>
  <x:c r="O351" i="1"/>
  <x:c r="P351" i="1"/>
  <x:c r="R351" i="1"/>
  <x:c r="S351" i="1"/>
  <x:c r="H352" i="1"/>
  <x:c r="I352" i="1"/>
  <x:c r="J352" i="1"/>
  <x:c r="K352" i="1"/>
  <x:c r="L352" i="1"/>
  <x:c r="M352" i="1"/>
  <x:c r="N352" i="1"/>
  <x:c r="O352" i="1"/>
  <x:c r="P352" i="1"/>
  <x:c r="R352" i="1"/>
  <x:c r="S352" i="1"/>
  <x:c r="H353" i="1"/>
  <x:c r="I353" i="1"/>
  <x:c r="J353" i="1"/>
  <x:c r="K353" i="1"/>
  <x:c r="L353" i="1"/>
  <x:c r="M353" i="1"/>
  <x:c r="N353" i="1"/>
  <x:c r="O353" i="1"/>
  <x:c r="P353" i="1"/>
  <x:c r="R353" i="1"/>
  <x:c r="S353" i="1"/>
  <x:c r="H354" i="1"/>
  <x:c r="I354" i="1"/>
  <x:c r="J354" i="1"/>
  <x:c r="K354" i="1"/>
  <x:c r="L354" i="1"/>
  <x:c r="M354" i="1"/>
  <x:c r="N354" i="1"/>
  <x:c r="O354" i="1"/>
  <x:c r="P354" i="1"/>
  <x:c r="R354" i="1"/>
  <x:c r="S354" i="1"/>
  <x:c r="H355" i="1"/>
  <x:c r="I355" i="1"/>
  <x:c r="J355" i="1"/>
  <x:c r="K355" i="1"/>
  <x:c r="L355" i="1"/>
  <x:c r="M355" i="1"/>
  <x:c r="N355" i="1"/>
  <x:c r="O355" i="1"/>
  <x:c r="P355" i="1"/>
  <x:c r="R355" i="1"/>
  <x:c r="S355" i="1"/>
  <x:c r="H356" i="1"/>
  <x:c r="I356" i="1"/>
  <x:c r="J356" i="1"/>
  <x:c r="K356" i="1"/>
  <x:c r="L356" i="1"/>
  <x:c r="M356" i="1"/>
  <x:c r="N356" i="1"/>
  <x:c r="O356" i="1"/>
  <x:c r="P356" i="1"/>
  <x:c r="R356" i="1"/>
  <x:c r="S356" i="1"/>
  <x:c r="H357" i="1"/>
  <x:c r="I357" i="1"/>
  <x:c r="J357" i="1"/>
  <x:c r="K357" i="1"/>
  <x:c r="L357" i="1"/>
  <x:c r="M357" i="1"/>
  <x:c r="N357" i="1"/>
  <x:c r="O357" i="1"/>
  <x:c r="P357" i="1"/>
  <x:c r="R357" i="1"/>
  <x:c r="S357" i="1"/>
  <x:c r="H358" i="1"/>
  <x:c r="I358" i="1"/>
  <x:c r="J358" i="1"/>
  <x:c r="K358" i="1"/>
  <x:c r="L358" i="1"/>
  <x:c r="M358" i="1"/>
  <x:c r="N358" i="1"/>
  <x:c r="O358" i="1"/>
  <x:c r="P358" i="1"/>
  <x:c r="R358" i="1"/>
  <x:c r="S358" i="1"/>
  <x:c r="H359" i="1"/>
  <x:c r="I359" i="1"/>
  <x:c r="J359" i="1"/>
  <x:c r="K359" i="1"/>
  <x:c r="L359" i="1"/>
  <x:c r="M359" i="1"/>
  <x:c r="N359" i="1"/>
  <x:c r="O359" i="1"/>
  <x:c r="P359" i="1"/>
  <x:c r="R359" i="1"/>
  <x:c r="S359" i="1"/>
  <x:c r="H360" i="1"/>
  <x:c r="I360" i="1"/>
  <x:c r="J360" i="1"/>
  <x:c r="K360" i="1"/>
  <x:c r="L360" i="1"/>
  <x:c r="M360" i="1"/>
  <x:c r="N360" i="1"/>
  <x:c r="O360" i="1"/>
  <x:c r="P360" i="1"/>
  <x:c r="R360" i="1"/>
  <x:c r="S360" i="1"/>
  <x:c r="H361" i="1"/>
  <x:c r="I361" i="1"/>
  <x:c r="J361" i="1"/>
  <x:c r="K361" i="1"/>
  <x:c r="L361" i="1"/>
  <x:c r="M361" i="1"/>
  <x:c r="N361" i="1"/>
  <x:c r="O361" i="1"/>
  <x:c r="P361" i="1"/>
  <x:c r="R361" i="1"/>
  <x:c r="S361" i="1"/>
  <x:c r="H362" i="1"/>
  <x:c r="I362" i="1"/>
  <x:c r="J362" i="1"/>
  <x:c r="K362" i="1"/>
  <x:c r="L362" i="1"/>
  <x:c r="M362" i="1"/>
  <x:c r="N362" i="1"/>
  <x:c r="O362" i="1"/>
  <x:c r="P362" i="1"/>
  <x:c r="R362" i="1"/>
  <x:c r="S362" i="1"/>
  <x:c r="H363" i="1"/>
  <x:c r="I363" i="1"/>
  <x:c r="J363" i="1"/>
  <x:c r="K363" i="1"/>
  <x:c r="L363" i="1"/>
  <x:c r="M363" i="1"/>
  <x:c r="N363" i="1"/>
  <x:c r="O363" i="1"/>
  <x:c r="P363" i="1"/>
  <x:c r="R363" i="1"/>
  <x:c r="S363" i="1"/>
  <x:c r="H364" i="1"/>
  <x:c r="I364" i="1"/>
  <x:c r="J364" i="1"/>
  <x:c r="K364" i="1"/>
  <x:c r="L364" i="1"/>
  <x:c r="M364" i="1"/>
  <x:c r="N364" i="1"/>
  <x:c r="O364" i="1"/>
  <x:c r="P364" i="1"/>
  <x:c r="R364" i="1"/>
  <x:c r="S364" i="1"/>
  <x:c r="H365" i="1"/>
  <x:c r="I365" i="1"/>
  <x:c r="J365" i="1"/>
  <x:c r="K365" i="1"/>
  <x:c r="L365" i="1"/>
  <x:c r="M365" i="1"/>
  <x:c r="N365" i="1"/>
  <x:c r="O365" i="1"/>
  <x:c r="P365" i="1"/>
  <x:c r="R365" i="1"/>
  <x:c r="S365" i="1"/>
  <x:c r="H366" i="1"/>
  <x:c r="I366" i="1"/>
  <x:c r="J366" i="1"/>
  <x:c r="K366" i="1"/>
  <x:c r="L366" i="1"/>
  <x:c r="M366" i="1"/>
  <x:c r="N366" i="1"/>
  <x:c r="O366" i="1"/>
  <x:c r="P366" i="1"/>
  <x:c r="R366" i="1"/>
  <x:c r="S366" i="1"/>
  <x:c r="H367" i="1"/>
  <x:c r="I367" i="1"/>
  <x:c r="J367" i="1"/>
  <x:c r="K367" i="1"/>
  <x:c r="L367" i="1"/>
  <x:c r="M367" i="1"/>
  <x:c r="N367" i="1"/>
  <x:c r="O367" i="1"/>
  <x:c r="P367" i="1"/>
  <x:c r="R367" i="1"/>
  <x:c r="S367" i="1"/>
  <x:c r="H368" i="1"/>
  <x:c r="I368" i="1"/>
  <x:c r="J368" i="1"/>
  <x:c r="K368" i="1"/>
  <x:c r="L368" i="1"/>
  <x:c r="M368" i="1"/>
  <x:c r="N368" i="1"/>
  <x:c r="O368" i="1"/>
  <x:c r="P368" i="1"/>
  <x:c r="R368" i="1"/>
  <x:c r="S368" i="1"/>
  <x:c r="H369" i="1"/>
  <x:c r="I369" i="1"/>
  <x:c r="J369" i="1"/>
  <x:c r="K369" i="1"/>
  <x:c r="L369" i="1"/>
  <x:c r="M369" i="1"/>
  <x:c r="N369" i="1"/>
  <x:c r="O369" i="1"/>
  <x:c r="P369" i="1"/>
  <x:c r="R369" i="1"/>
  <x:c r="S369" i="1"/>
  <x:c r="H370" i="1"/>
  <x:c r="I370" i="1"/>
  <x:c r="J370" i="1"/>
  <x:c r="K370" i="1"/>
  <x:c r="L370" i="1"/>
  <x:c r="M370" i="1"/>
  <x:c r="N370" i="1"/>
  <x:c r="O370" i="1"/>
  <x:c r="P370" i="1"/>
  <x:c r="R370" i="1"/>
  <x:c r="S370" i="1"/>
  <x:c r="H371" i="1"/>
  <x:c r="I371" i="1"/>
  <x:c r="J371" i="1"/>
  <x:c r="K371" i="1"/>
  <x:c r="L371" i="1"/>
  <x:c r="M371" i="1"/>
  <x:c r="N371" i="1"/>
  <x:c r="O371" i="1"/>
  <x:c r="P371" i="1"/>
  <x:c r="R371" i="1"/>
  <x:c r="S371" i="1"/>
  <x:c r="H372" i="1"/>
  <x:c r="I372" i="1"/>
  <x:c r="J372" i="1"/>
  <x:c r="K372" i="1"/>
  <x:c r="L372" i="1"/>
  <x:c r="M372" i="1"/>
  <x:c r="N372" i="1"/>
  <x:c r="O372" i="1"/>
  <x:c r="P372" i="1"/>
  <x:c r="R372" i="1"/>
  <x:c r="S372" i="1"/>
  <x:c r="H373" i="1"/>
  <x:c r="I373" i="1"/>
  <x:c r="J373" i="1"/>
  <x:c r="K373" i="1"/>
  <x:c r="L373" i="1"/>
  <x:c r="M373" i="1"/>
  <x:c r="N373" i="1"/>
  <x:c r="O373" i="1"/>
  <x:c r="P373" i="1"/>
  <x:c r="R373" i="1"/>
  <x:c r="S373" i="1"/>
  <x:c r="H374" i="1"/>
  <x:c r="I374" i="1"/>
  <x:c r="J374" i="1"/>
  <x:c r="K374" i="1"/>
  <x:c r="L374" i="1"/>
  <x:c r="M374" i="1"/>
  <x:c r="N374" i="1"/>
  <x:c r="O374" i="1"/>
  <x:c r="P374" i="1"/>
  <x:c r="R374" i="1"/>
  <x:c r="S374" i="1"/>
  <x:c r="H375" i="1"/>
  <x:c r="I375" i="1"/>
  <x:c r="J375" i="1"/>
  <x:c r="K375" i="1"/>
  <x:c r="L375" i="1"/>
  <x:c r="M375" i="1"/>
  <x:c r="N375" i="1"/>
  <x:c r="O375" i="1"/>
  <x:c r="P375" i="1"/>
  <x:c r="R375" i="1"/>
  <x:c r="S375" i="1"/>
  <x:c r="H376" i="1"/>
  <x:c r="I376" i="1"/>
  <x:c r="J376" i="1"/>
  <x:c r="K376" i="1"/>
  <x:c r="L376" i="1"/>
  <x:c r="M376" i="1"/>
  <x:c r="N376" i="1"/>
  <x:c r="O376" i="1"/>
  <x:c r="P376" i="1"/>
  <x:c r="R376" i="1"/>
  <x:c r="S376" i="1"/>
  <x:c r="H377" i="1"/>
  <x:c r="I377" i="1"/>
  <x:c r="J377" i="1"/>
  <x:c r="K377" i="1"/>
  <x:c r="L377" i="1"/>
  <x:c r="M377" i="1"/>
  <x:c r="N377" i="1"/>
  <x:c r="O377" i="1"/>
  <x:c r="P377" i="1"/>
  <x:c r="R377" i="1"/>
  <x:c r="S377" i="1"/>
  <x:c r="H378" i="1"/>
  <x:c r="I378" i="1"/>
  <x:c r="J378" i="1"/>
  <x:c r="K378" i="1"/>
  <x:c r="L378" i="1"/>
  <x:c r="M378" i="1"/>
  <x:c r="N378" i="1"/>
  <x:c r="O378" i="1"/>
  <x:c r="P378" i="1"/>
  <x:c r="R378" i="1"/>
  <x:c r="S378" i="1"/>
  <x:c r="H379" i="1"/>
  <x:c r="I379" i="1"/>
  <x:c r="J379" i="1"/>
  <x:c r="K379" i="1"/>
  <x:c r="L379" i="1"/>
  <x:c r="M379" i="1"/>
  <x:c r="N379" i="1"/>
  <x:c r="O379" i="1"/>
  <x:c r="P379" i="1"/>
  <x:c r="R379" i="1"/>
  <x:c r="S379" i="1"/>
  <x:c r="H380" i="1"/>
  <x:c r="I380" i="1"/>
  <x:c r="J380" i="1"/>
  <x:c r="K380" i="1"/>
  <x:c r="L380" i="1"/>
  <x:c r="M380" i="1"/>
  <x:c r="N380" i="1"/>
  <x:c r="O380" i="1"/>
  <x:c r="P380" i="1"/>
  <x:c r="R380" i="1"/>
  <x:c r="S380" i="1"/>
  <x:c r="H381" i="1"/>
  <x:c r="I381" i="1"/>
  <x:c r="J381" i="1"/>
  <x:c r="K381" i="1"/>
  <x:c r="L381" i="1"/>
  <x:c r="M381" i="1"/>
  <x:c r="N381" i="1"/>
  <x:c r="O381" i="1"/>
  <x:c r="P381" i="1"/>
  <x:c r="R381" i="1"/>
  <x:c r="S381" i="1"/>
  <x:c r="H382" i="1"/>
  <x:c r="I382" i="1"/>
  <x:c r="J382" i="1"/>
  <x:c r="K382" i="1"/>
  <x:c r="L382" i="1"/>
  <x:c r="M382" i="1"/>
  <x:c r="N382" i="1"/>
  <x:c r="O382" i="1"/>
  <x:c r="P382" i="1"/>
  <x:c r="R382" i="1"/>
  <x:c r="S382" i="1"/>
  <x:c r="H383" i="1"/>
  <x:c r="I383" i="1"/>
  <x:c r="J383" i="1"/>
  <x:c r="K383" i="1"/>
  <x:c r="L383" i="1"/>
  <x:c r="M383" i="1"/>
  <x:c r="N383" i="1"/>
  <x:c r="O383" i="1"/>
  <x:c r="P383" i="1"/>
  <x:c r="R383" i="1"/>
  <x:c r="S383" i="1"/>
  <x:c r="H384" i="1"/>
  <x:c r="I384" i="1"/>
  <x:c r="J384" i="1"/>
  <x:c r="K384" i="1"/>
  <x:c r="L384" i="1"/>
  <x:c r="M384" i="1"/>
  <x:c r="N384" i="1"/>
  <x:c r="O384" i="1"/>
  <x:c r="P384" i="1"/>
  <x:c r="R384" i="1"/>
  <x:c r="S384" i="1"/>
  <x:c r="H385" i="1"/>
  <x:c r="I385" i="1"/>
  <x:c r="J385" i="1"/>
  <x:c r="K385" i="1"/>
  <x:c r="L385" i="1"/>
  <x:c r="M385" i="1"/>
  <x:c r="N385" i="1"/>
  <x:c r="O385" i="1"/>
  <x:c r="P385" i="1"/>
  <x:c r="R385" i="1"/>
  <x:c r="S385" i="1"/>
  <x:c r="H386" i="1"/>
  <x:c r="I386" i="1"/>
  <x:c r="J386" i="1"/>
  <x:c r="K386" i="1"/>
  <x:c r="L386" i="1"/>
  <x:c r="M386" i="1"/>
  <x:c r="N386" i="1"/>
  <x:c r="O386" i="1"/>
  <x:c r="P386" i="1"/>
  <x:c r="R386" i="1"/>
  <x:c r="S386" i="1"/>
  <x:c r="H387" i="1"/>
  <x:c r="I387" i="1"/>
  <x:c r="J387" i="1"/>
  <x:c r="K387" i="1"/>
  <x:c r="L387" i="1"/>
  <x:c r="M387" i="1"/>
  <x:c r="N387" i="1"/>
  <x:c r="O387" i="1"/>
  <x:c r="P387" i="1"/>
  <x:c r="R387" i="1"/>
  <x:c r="S387" i="1"/>
  <x:c r="H388" i="1"/>
  <x:c r="I388" i="1"/>
  <x:c r="J388" i="1"/>
  <x:c r="K388" i="1"/>
  <x:c r="L388" i="1"/>
  <x:c r="M388" i="1"/>
  <x:c r="N388" i="1"/>
  <x:c r="O388" i="1"/>
  <x:c r="P388" i="1"/>
  <x:c r="R388" i="1"/>
  <x:c r="S388" i="1"/>
  <x:c r="H389" i="1"/>
  <x:c r="I389" i="1"/>
  <x:c r="J389" i="1"/>
  <x:c r="K389" i="1"/>
  <x:c r="L389" i="1"/>
  <x:c r="M389" i="1"/>
  <x:c r="N389" i="1"/>
  <x:c r="O389" i="1"/>
  <x:c r="P389" i="1"/>
  <x:c r="R389" i="1"/>
  <x:c r="S389" i="1"/>
  <x:c r="H390" i="1"/>
  <x:c r="I390" i="1"/>
  <x:c r="J390" i="1"/>
  <x:c r="K390" i="1"/>
  <x:c r="L390" i="1"/>
  <x:c r="M390" i="1"/>
  <x:c r="N390" i="1"/>
  <x:c r="O390" i="1"/>
  <x:c r="P390" i="1"/>
  <x:c r="R390" i="1"/>
  <x:c r="S390" i="1"/>
  <x:c r="H391" i="1"/>
  <x:c r="I391" i="1"/>
  <x:c r="J391" i="1"/>
  <x:c r="K391" i="1"/>
  <x:c r="L391" i="1"/>
  <x:c r="M391" i="1"/>
  <x:c r="N391" i="1"/>
  <x:c r="O391" i="1"/>
  <x:c r="P391" i="1"/>
  <x:c r="R391" i="1"/>
  <x:c r="S391" i="1"/>
  <x:c r="H392" i="1"/>
  <x:c r="I392" i="1"/>
  <x:c r="J392" i="1"/>
  <x:c r="K392" i="1"/>
  <x:c r="L392" i="1"/>
  <x:c r="M392" i="1"/>
  <x:c r="N392" i="1"/>
  <x:c r="O392" i="1"/>
  <x:c r="P392" i="1"/>
  <x:c r="R392" i="1"/>
  <x:c r="S392" i="1"/>
  <x:c r="H393" i="1"/>
  <x:c r="I393" i="1"/>
  <x:c r="J393" i="1"/>
  <x:c r="K393" i="1"/>
  <x:c r="L393" i="1"/>
  <x:c r="M393" i="1"/>
  <x:c r="N393" i="1"/>
  <x:c r="O393" i="1"/>
  <x:c r="P393" i="1"/>
  <x:c r="R393" i="1"/>
  <x:c r="S393" i="1"/>
  <x:c r="H394" i="1"/>
  <x:c r="I394" i="1"/>
  <x:c r="J394" i="1"/>
  <x:c r="K394" i="1"/>
  <x:c r="L394" i="1"/>
  <x:c r="M394" i="1"/>
  <x:c r="N394" i="1"/>
  <x:c r="O394" i="1"/>
  <x:c r="P394" i="1"/>
  <x:c r="R394" i="1"/>
  <x:c r="S394" i="1"/>
  <x:c r="H395" i="1"/>
  <x:c r="I395" i="1"/>
  <x:c r="J395" i="1"/>
  <x:c r="K395" i="1"/>
  <x:c r="L395" i="1"/>
  <x:c r="M395" i="1"/>
  <x:c r="N395" i="1"/>
  <x:c r="O395" i="1"/>
  <x:c r="P395" i="1"/>
  <x:c r="R395" i="1"/>
  <x:c r="S395" i="1"/>
  <x:c r="H396" i="1"/>
  <x:c r="I396" i="1"/>
  <x:c r="J396" i="1"/>
  <x:c r="K396" i="1"/>
  <x:c r="L396" i="1"/>
  <x:c r="M396" i="1"/>
  <x:c r="N396" i="1"/>
  <x:c r="O396" i="1"/>
  <x:c r="P396" i="1"/>
  <x:c r="R396" i="1"/>
  <x:c r="S396" i="1"/>
  <x:c r="H397" i="1"/>
  <x:c r="I397" i="1"/>
  <x:c r="J397" i="1"/>
  <x:c r="K397" i="1"/>
  <x:c r="L397" i="1"/>
  <x:c r="M397" i="1"/>
  <x:c r="N397" i="1"/>
  <x:c r="O397" i="1"/>
  <x:c r="P397" i="1"/>
  <x:c r="R397" i="1"/>
  <x:c r="S397" i="1"/>
  <x:c r="H398" i="1"/>
  <x:c r="I398" i="1"/>
  <x:c r="J398" i="1"/>
  <x:c r="K398" i="1"/>
  <x:c r="L398" i="1"/>
  <x:c r="M398" i="1"/>
  <x:c r="N398" i="1"/>
  <x:c r="O398" i="1"/>
  <x:c r="P398" i="1"/>
  <x:c r="R398" i="1"/>
  <x:c r="S398" i="1"/>
  <x:c r="H399" i="1"/>
  <x:c r="I399" i="1"/>
  <x:c r="J399" i="1"/>
  <x:c r="K399" i="1"/>
  <x:c r="L399" i="1"/>
  <x:c r="M399" i="1"/>
  <x:c r="N399" i="1"/>
  <x:c r="O399" i="1"/>
  <x:c r="P399" i="1"/>
  <x:c r="R399" i="1"/>
  <x:c r="S399" i="1"/>
  <x:c r="H400" i="1"/>
  <x:c r="I400" i="1"/>
  <x:c r="J400" i="1"/>
  <x:c r="K400" i="1"/>
  <x:c r="L400" i="1"/>
  <x:c r="M400" i="1"/>
  <x:c r="N400" i="1"/>
  <x:c r="O400" i="1"/>
  <x:c r="P400" i="1"/>
  <x:c r="R400" i="1"/>
  <x:c r="S400" i="1"/>
  <x:c r="H401" i="1"/>
  <x:c r="I401" i="1"/>
  <x:c r="J401" i="1"/>
  <x:c r="K401" i="1"/>
  <x:c r="L401" i="1"/>
  <x:c r="M401" i="1"/>
  <x:c r="N401" i="1"/>
  <x:c r="O401" i="1"/>
  <x:c r="P401" i="1"/>
  <x:c r="R401" i="1"/>
  <x:c r="S401" i="1"/>
  <x:c r="H402" i="1"/>
  <x:c r="I402" i="1"/>
  <x:c r="J402" i="1"/>
  <x:c r="K402" i="1"/>
  <x:c r="L402" i="1"/>
  <x:c r="M402" i="1"/>
  <x:c r="N402" i="1"/>
  <x:c r="O402" i="1"/>
  <x:c r="P402" i="1"/>
  <x:c r="R402" i="1"/>
  <x:c r="S402" i="1"/>
  <x:c r="H403" i="1"/>
  <x:c r="I403" i="1"/>
  <x:c r="J403" i="1"/>
  <x:c r="K403" i="1"/>
  <x:c r="L403" i="1"/>
  <x:c r="M403" i="1"/>
  <x:c r="N403" i="1"/>
  <x:c r="O403" i="1"/>
  <x:c r="P403" i="1"/>
  <x:c r="R403" i="1"/>
  <x:c r="S403" i="1"/>
  <x:c r="H404" i="1"/>
  <x:c r="I404" i="1"/>
  <x:c r="J404" i="1"/>
  <x:c r="K404" i="1"/>
  <x:c r="L404" i="1"/>
  <x:c r="M404" i="1"/>
  <x:c r="N404" i="1"/>
  <x:c r="O404" i="1"/>
  <x:c r="P404" i="1"/>
  <x:c r="R404" i="1"/>
  <x:c r="S404" i="1"/>
  <x:c r="H405" i="1"/>
  <x:c r="I405" i="1"/>
  <x:c r="J405" i="1"/>
  <x:c r="K405" i="1"/>
  <x:c r="L405" i="1"/>
  <x:c r="M405" i="1"/>
  <x:c r="N405" i="1"/>
  <x:c r="O405" i="1"/>
  <x:c r="P405" i="1"/>
  <x:c r="R405" i="1"/>
  <x:c r="S405" i="1"/>
  <x:c r="H406" i="1"/>
  <x:c r="I406" i="1"/>
  <x:c r="J406" i="1"/>
  <x:c r="K406" i="1"/>
  <x:c r="L406" i="1"/>
  <x:c r="M406" i="1"/>
  <x:c r="N406" i="1"/>
  <x:c r="O406" i="1"/>
  <x:c r="P406" i="1"/>
  <x:c r="R406" i="1"/>
  <x:c r="S406" i="1"/>
  <x:c r="H407" i="1"/>
  <x:c r="I407" i="1"/>
  <x:c r="J407" i="1"/>
  <x:c r="K407" i="1"/>
  <x:c r="L407" i="1"/>
  <x:c r="M407" i="1"/>
  <x:c r="N407" i="1"/>
  <x:c r="O407" i="1"/>
  <x:c r="P407" i="1"/>
  <x:c r="R407" i="1"/>
  <x:c r="S407" i="1"/>
  <x:c r="H408" i="1"/>
  <x:c r="I408" i="1"/>
  <x:c r="J408" i="1"/>
  <x:c r="K408" i="1"/>
  <x:c r="L408" i="1"/>
  <x:c r="M408" i="1"/>
  <x:c r="N408" i="1"/>
  <x:c r="O408" i="1"/>
  <x:c r="P408" i="1"/>
  <x:c r="R408" i="1"/>
  <x:c r="S408" i="1"/>
  <x:c r="H409" i="1"/>
  <x:c r="I409" i="1"/>
  <x:c r="J409" i="1"/>
  <x:c r="K409" i="1"/>
  <x:c r="L409" i="1"/>
  <x:c r="M409" i="1"/>
  <x:c r="N409" i="1"/>
  <x:c r="O409" i="1"/>
  <x:c r="P409" i="1"/>
  <x:c r="R409" i="1"/>
  <x:c r="S409" i="1"/>
  <x:c r="H410" i="1"/>
  <x:c r="I410" i="1"/>
  <x:c r="J410" i="1"/>
  <x:c r="K410" i="1"/>
  <x:c r="L410" i="1"/>
  <x:c r="M410" i="1"/>
  <x:c r="N410" i="1"/>
  <x:c r="O410" i="1"/>
  <x:c r="P410" i="1"/>
  <x:c r="R410" i="1"/>
  <x:c r="S410" i="1"/>
  <x:c r="H411" i="1"/>
  <x:c r="I411" i="1"/>
  <x:c r="J411" i="1"/>
  <x:c r="K411" i="1"/>
  <x:c r="L411" i="1"/>
  <x:c r="M411" i="1"/>
  <x:c r="N411" i="1"/>
  <x:c r="O411" i="1"/>
  <x:c r="P411" i="1"/>
  <x:c r="R411" i="1"/>
  <x:c r="S411" i="1"/>
  <x:c r="H412" i="1"/>
  <x:c r="I412" i="1"/>
  <x:c r="J412" i="1"/>
  <x:c r="K412" i="1"/>
  <x:c r="L412" i="1"/>
  <x:c r="M412" i="1"/>
  <x:c r="N412" i="1"/>
  <x:c r="O412" i="1"/>
  <x:c r="P412" i="1"/>
  <x:c r="R412" i="1"/>
  <x:c r="S412" i="1"/>
  <x:c r="H413" i="1"/>
  <x:c r="I413" i="1"/>
  <x:c r="J413" i="1"/>
  <x:c r="K413" i="1"/>
  <x:c r="L413" i="1"/>
  <x:c r="M413" i="1"/>
  <x:c r="N413" i="1"/>
  <x:c r="O413" i="1"/>
  <x:c r="P413" i="1"/>
  <x:c r="R413" i="1"/>
  <x:c r="S413" i="1"/>
  <x:c r="H414" i="1"/>
  <x:c r="I414" i="1"/>
  <x:c r="J414" i="1"/>
  <x:c r="K414" i="1"/>
  <x:c r="L414" i="1"/>
  <x:c r="M414" i="1"/>
  <x:c r="N414" i="1"/>
  <x:c r="O414" i="1"/>
  <x:c r="P414" i="1"/>
  <x:c r="R414" i="1"/>
  <x:c r="S414" i="1"/>
  <x:c r="H415" i="1"/>
  <x:c r="I415" i="1"/>
  <x:c r="J415" i="1"/>
  <x:c r="K415" i="1"/>
  <x:c r="L415" i="1"/>
  <x:c r="M415" i="1"/>
  <x:c r="N415" i="1"/>
  <x:c r="O415" i="1"/>
  <x:c r="P415" i="1"/>
  <x:c r="R415" i="1"/>
  <x:c r="S415" i="1"/>
  <x:c r="H416" i="1"/>
  <x:c r="I416" i="1"/>
  <x:c r="J416" i="1"/>
  <x:c r="K416" i="1"/>
  <x:c r="L416" i="1"/>
  <x:c r="M416" i="1"/>
  <x:c r="N416" i="1"/>
  <x:c r="O416" i="1"/>
  <x:c r="P416" i="1"/>
  <x:c r="R416" i="1"/>
  <x:c r="S416" i="1"/>
  <x:c r="H417" i="1"/>
  <x:c r="I417" i="1"/>
  <x:c r="J417" i="1"/>
  <x:c r="K417" i="1"/>
  <x:c r="L417" i="1"/>
  <x:c r="M417" i="1"/>
  <x:c r="N417" i="1"/>
  <x:c r="O417" i="1"/>
  <x:c r="P417" i="1"/>
  <x:c r="R417" i="1"/>
  <x:c r="S417" i="1"/>
  <x:c r="H418" i="1"/>
  <x:c r="I418" i="1"/>
  <x:c r="J418" i="1"/>
  <x:c r="K418" i="1"/>
  <x:c r="L418" i="1"/>
  <x:c r="M418" i="1"/>
  <x:c r="N418" i="1"/>
  <x:c r="O418" i="1"/>
  <x:c r="P418" i="1"/>
  <x:c r="R418" i="1"/>
  <x:c r="S418" i="1"/>
  <x:c r="H419" i="1"/>
  <x:c r="I419" i="1"/>
  <x:c r="J419" i="1"/>
  <x:c r="K419" i="1"/>
  <x:c r="L419" i="1"/>
  <x:c r="M419" i="1"/>
  <x:c r="N419" i="1"/>
  <x:c r="O419" i="1"/>
  <x:c r="P419" i="1"/>
  <x:c r="R419" i="1"/>
  <x:c r="S419" i="1"/>
  <x:c r="H420" i="1"/>
  <x:c r="I420" i="1"/>
  <x:c r="J420" i="1"/>
  <x:c r="K420" i="1"/>
  <x:c r="L420" i="1"/>
  <x:c r="M420" i="1"/>
  <x:c r="N420" i="1"/>
  <x:c r="O420" i="1"/>
  <x:c r="P420" i="1"/>
  <x:c r="R420" i="1"/>
  <x:c r="S420" i="1"/>
  <x:c r="H421" i="1"/>
  <x:c r="I421" i="1"/>
  <x:c r="J421" i="1"/>
  <x:c r="K421" i="1"/>
  <x:c r="L421" i="1"/>
  <x:c r="M421" i="1"/>
  <x:c r="N421" i="1"/>
  <x:c r="O421" i="1"/>
  <x:c r="P421" i="1"/>
  <x:c r="R421" i="1"/>
  <x:c r="S421" i="1"/>
  <x:c r="H422" i="1"/>
  <x:c r="I422" i="1"/>
  <x:c r="J422" i="1"/>
  <x:c r="K422" i="1"/>
  <x:c r="L422" i="1"/>
  <x:c r="M422" i="1"/>
  <x:c r="N422" i="1"/>
  <x:c r="O422" i="1"/>
  <x:c r="P422" i="1"/>
  <x:c r="R422" i="1"/>
  <x:c r="S422" i="1"/>
  <x:c r="H423" i="1"/>
  <x:c r="I423" i="1"/>
  <x:c r="J423" i="1"/>
  <x:c r="K423" i="1"/>
  <x:c r="L423" i="1"/>
  <x:c r="M423" i="1"/>
  <x:c r="N423" i="1"/>
  <x:c r="O423" i="1"/>
  <x:c r="P423" i="1"/>
  <x:c r="R423" i="1"/>
  <x:c r="S423" i="1"/>
  <x:c r="H424" i="1"/>
  <x:c r="I424" i="1"/>
  <x:c r="J424" i="1"/>
  <x:c r="K424" i="1"/>
  <x:c r="L424" i="1"/>
  <x:c r="M424" i="1"/>
  <x:c r="N424" i="1"/>
  <x:c r="O424" i="1"/>
  <x:c r="P424" i="1"/>
  <x:c r="R424" i="1"/>
  <x:c r="S424" i="1"/>
  <x:c r="H425" i="1"/>
  <x:c r="I425" i="1"/>
  <x:c r="J425" i="1"/>
  <x:c r="K425" i="1"/>
  <x:c r="L425" i="1"/>
  <x:c r="M425" i="1"/>
  <x:c r="N425" i="1"/>
  <x:c r="O425" i="1"/>
  <x:c r="P425" i="1"/>
  <x:c r="R425" i="1"/>
  <x:c r="S425" i="1"/>
  <x:c r="H426" i="1"/>
  <x:c r="I426" i="1"/>
  <x:c r="J426" i="1"/>
  <x:c r="K426" i="1"/>
  <x:c r="L426" i="1"/>
  <x:c r="M426" i="1"/>
  <x:c r="N426" i="1"/>
  <x:c r="O426" i="1"/>
  <x:c r="P426" i="1"/>
  <x:c r="R426" i="1"/>
  <x:c r="S426" i="1"/>
  <x:c r="H427" i="1"/>
  <x:c r="I427" i="1"/>
  <x:c r="J427" i="1"/>
  <x:c r="K427" i="1"/>
  <x:c r="L427" i="1"/>
  <x:c r="M427" i="1"/>
  <x:c r="N427" i="1"/>
  <x:c r="O427" i="1"/>
  <x:c r="P427" i="1"/>
  <x:c r="R427" i="1"/>
  <x:c r="S427" i="1"/>
  <x:c r="H428" i="1"/>
  <x:c r="I428" i="1"/>
  <x:c r="J428" i="1"/>
  <x:c r="K428" i="1"/>
  <x:c r="L428" i="1"/>
  <x:c r="M428" i="1"/>
  <x:c r="N428" i="1"/>
  <x:c r="O428" i="1"/>
  <x:c r="P428" i="1"/>
  <x:c r="R428" i="1"/>
  <x:c r="S428" i="1"/>
  <x:c r="H429" i="1"/>
  <x:c r="I429" i="1"/>
  <x:c r="J429" i="1"/>
  <x:c r="K429" i="1"/>
  <x:c r="L429" i="1"/>
  <x:c r="M429" i="1"/>
  <x:c r="N429" i="1"/>
  <x:c r="O429" i="1"/>
  <x:c r="P429" i="1"/>
  <x:c r="R429" i="1"/>
  <x:c r="S429" i="1"/>
  <x:c r="H430" i="1"/>
  <x:c r="I430" i="1"/>
  <x:c r="J430" i="1"/>
  <x:c r="K430" i="1"/>
  <x:c r="L430" i="1"/>
  <x:c r="M430" i="1"/>
  <x:c r="N430" i="1"/>
  <x:c r="O430" i="1"/>
  <x:c r="P430" i="1"/>
  <x:c r="R430" i="1"/>
  <x:c r="S430" i="1"/>
  <x:c r="H431" i="1"/>
  <x:c r="I431" i="1"/>
  <x:c r="J431" i="1"/>
  <x:c r="K431" i="1"/>
  <x:c r="L431" i="1"/>
  <x:c r="M431" i="1"/>
  <x:c r="N431" i="1"/>
  <x:c r="O431" i="1"/>
  <x:c r="P431" i="1"/>
  <x:c r="R431" i="1"/>
  <x:c r="S431" i="1"/>
  <x:c r="H432" i="1"/>
  <x:c r="I432" i="1"/>
  <x:c r="J432" i="1"/>
  <x:c r="K432" i="1"/>
  <x:c r="L432" i="1"/>
  <x:c r="M432" i="1"/>
  <x:c r="N432" i="1"/>
  <x:c r="O432" i="1"/>
  <x:c r="P432" i="1"/>
  <x:c r="R432" i="1"/>
  <x:c r="S432" i="1"/>
  <x:c r="H433" i="1"/>
  <x:c r="I433" i="1"/>
  <x:c r="J433" i="1"/>
  <x:c r="K433" i="1"/>
  <x:c r="L433" i="1"/>
  <x:c r="M433" i="1"/>
  <x:c r="N433" i="1"/>
  <x:c r="O433" i="1"/>
  <x:c r="P433" i="1"/>
  <x:c r="R433" i="1"/>
  <x:c r="S433" i="1"/>
  <x:c r="H434" i="1"/>
  <x:c r="I434" i="1"/>
  <x:c r="J434" i="1"/>
  <x:c r="K434" i="1"/>
  <x:c r="L434" i="1"/>
  <x:c r="M434" i="1"/>
  <x:c r="N434" i="1"/>
  <x:c r="O434" i="1"/>
  <x:c r="P434" i="1"/>
  <x:c r="R434" i="1"/>
  <x:c r="S434" i="1"/>
  <x:c r="H435" i="1"/>
  <x:c r="I435" i="1"/>
  <x:c r="J435" i="1"/>
  <x:c r="K435" i="1"/>
  <x:c r="L435" i="1"/>
  <x:c r="M435" i="1"/>
  <x:c r="N435" i="1"/>
  <x:c r="O435" i="1"/>
  <x:c r="P435" i="1"/>
  <x:c r="R435" i="1"/>
  <x:c r="S435" i="1"/>
  <x:c r="H436" i="1"/>
  <x:c r="I436" i="1"/>
  <x:c r="J436" i="1"/>
  <x:c r="K436" i="1"/>
  <x:c r="L436" i="1"/>
  <x:c r="M436" i="1"/>
  <x:c r="N436" i="1"/>
  <x:c r="O436" i="1"/>
  <x:c r="P436" i="1"/>
  <x:c r="R436" i="1"/>
  <x:c r="S436" i="1"/>
  <x:c r="H437" i="1"/>
  <x:c r="I437" i="1"/>
  <x:c r="J437" i="1"/>
  <x:c r="K437" i="1"/>
  <x:c r="L437" i="1"/>
  <x:c r="M437" i="1"/>
  <x:c r="N437" i="1"/>
  <x:c r="O437" i="1"/>
  <x:c r="P437" i="1"/>
  <x:c r="R437" i="1"/>
  <x:c r="S437" i="1"/>
  <x:c r="H438" i="1"/>
  <x:c r="I438" i="1"/>
  <x:c r="J438" i="1"/>
  <x:c r="K438" i="1"/>
  <x:c r="L438" i="1"/>
  <x:c r="M438" i="1"/>
  <x:c r="N438" i="1"/>
  <x:c r="O438" i="1"/>
  <x:c r="P438" i="1"/>
  <x:c r="R438" i="1"/>
  <x:c r="S438" i="1"/>
  <x:c r="H439" i="1"/>
  <x:c r="I439" i="1"/>
  <x:c r="J439" i="1"/>
  <x:c r="K439" i="1"/>
  <x:c r="L439" i="1"/>
  <x:c r="M439" i="1"/>
  <x:c r="N439" i="1"/>
  <x:c r="O439" i="1"/>
  <x:c r="P439" i="1"/>
  <x:c r="R439" i="1"/>
  <x:c r="S439" i="1"/>
  <x:c r="H440" i="1"/>
  <x:c r="I440" i="1"/>
  <x:c r="J440" i="1"/>
  <x:c r="K440" i="1"/>
  <x:c r="L440" i="1"/>
  <x:c r="M440" i="1"/>
  <x:c r="N440" i="1"/>
  <x:c r="O440" i="1"/>
  <x:c r="P440" i="1"/>
  <x:c r="R440" i="1"/>
  <x:c r="S440" i="1"/>
  <x:c r="H441" i="1"/>
  <x:c r="I441" i="1"/>
  <x:c r="J441" i="1"/>
  <x:c r="K441" i="1"/>
  <x:c r="L441" i="1"/>
  <x:c r="M441" i="1"/>
  <x:c r="N441" i="1"/>
  <x:c r="O441" i="1"/>
  <x:c r="P441" i="1"/>
  <x:c r="R441" i="1"/>
  <x:c r="S441" i="1"/>
  <x:c r="H442" i="1"/>
  <x:c r="I442" i="1"/>
  <x:c r="J442" i="1"/>
  <x:c r="K442" i="1"/>
  <x:c r="L442" i="1"/>
  <x:c r="M442" i="1"/>
  <x:c r="N442" i="1"/>
  <x:c r="O442" i="1"/>
  <x:c r="P442" i="1"/>
  <x:c r="R442" i="1"/>
  <x:c r="S442" i="1"/>
  <x:c r="H443" i="1"/>
  <x:c r="I443" i="1"/>
  <x:c r="J443" i="1"/>
  <x:c r="K443" i="1"/>
  <x:c r="L443" i="1"/>
  <x:c r="M443" i="1"/>
  <x:c r="N443" i="1"/>
  <x:c r="O443" i="1"/>
  <x:c r="P443" i="1"/>
  <x:c r="R443" i="1"/>
  <x:c r="S443" i="1"/>
  <x:c r="H444" i="1"/>
  <x:c r="I444" i="1"/>
  <x:c r="J444" i="1"/>
  <x:c r="K444" i="1"/>
  <x:c r="L444" i="1"/>
  <x:c r="M444" i="1"/>
  <x:c r="N444" i="1"/>
  <x:c r="O444" i="1"/>
  <x:c r="P444" i="1"/>
  <x:c r="R444" i="1"/>
  <x:c r="S444" i="1"/>
  <x:c r="H445" i="1"/>
  <x:c r="I445" i="1"/>
  <x:c r="J445" i="1"/>
  <x:c r="K445" i="1"/>
  <x:c r="L445" i="1"/>
  <x:c r="M445" i="1"/>
  <x:c r="N445" i="1"/>
  <x:c r="O445" i="1"/>
  <x:c r="P445" i="1"/>
  <x:c r="R445" i="1"/>
  <x:c r="S445" i="1"/>
  <x:c r="H446" i="1"/>
  <x:c r="I446" i="1"/>
  <x:c r="J446" i="1"/>
  <x:c r="K446" i="1"/>
  <x:c r="L446" i="1"/>
  <x:c r="M446" i="1"/>
  <x:c r="N446" i="1"/>
  <x:c r="O446" i="1"/>
  <x:c r="P446" i="1"/>
  <x:c r="R446" i="1"/>
  <x:c r="S446" i="1"/>
  <x:c r="H447" i="1"/>
  <x:c r="I447" i="1"/>
  <x:c r="J447" i="1"/>
  <x:c r="K447" i="1"/>
  <x:c r="L447" i="1"/>
  <x:c r="M447" i="1"/>
  <x:c r="N447" i="1"/>
  <x:c r="O447" i="1"/>
  <x:c r="P447" i="1"/>
  <x:c r="R447" i="1"/>
  <x:c r="S447" i="1"/>
  <x:c r="M449" i="1"/>
  <x:c r="N449" i="1"/>
  <x:c r="O449" i="1"/>
  <x:c r="P449" i="1"/>
  <x:c r="D17" i="2"/>
  <x:c r="E17" i="2"/>
  <x:c r="D21" i="2"/>
  <x:c r="D22" i="2"/>
  <x:c r="E22" i="2"/>
  <x:c r="D23" i="2"/>
  <x:c r="E23" i="2"/>
  <x:c r="D33" i="2"/>
  <x:c r="E33" i="2"/>
  <x:c r="F33" i="2"/>
  <x:c r="D34" i="2"/>
  <x:c r="E34" i="2"/>
  <x:c r="D35" i="2"/>
  <x:c r="E35" i="2"/>
  <x:c r="D36" i="2"/>
  <x:c r="E36" i="2"/>
  <x:c r="F36" i="2"/>
  <x:c r="C37" i="2"/>
  <x:c r="D37" i="2"/>
  <x:c r="E37" i="2"/>
  <x:c r="F37" i="2"/>
  <x:c r="G37" i="2"/>
</x:calcChain>
</file>

<file path=xl/comments1.xml><?xml version="1.0" encoding="utf-8"?>
<x:comments xmlns:x="http://schemas.openxmlformats.org/spreadsheetml/2006/main">
  <x:authors>
    <x:author>Author</x:author>
  </x:authors>
  <x:commentList>
    <x:comment ref="S1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Nombre de décimales de la monnaie</x:t>
        </x:r>
      </x:text>
    </x:comment>
    <x:comment ref="S2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Remboursement des échéances constantes</x:t>
        </x:r>
        <x:r>
          <x:rPr>
            <x:vertAlign val="baseline"/>
            <x:sz val="8"/>
            <x:color rgb="FF000000"/>
            <x:rFont val="Tahoma"/>
            <x:family val="2"/>
          </x:rPr>
          <x:t xml:space="preserve">
</x:t>
        </x:r>
      </x:text>
    </x:comment>
    <x:comment ref="S3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 xml:space="preserve">Nombre échéance maxi
</x:t>
        </x:r>
      </x:text>
    </x:comment>
    <x:comment ref="S4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N° échéance de remboursement</x:t>
        </x:r>
      </x:text>
    </x:comment>
    <x:comment ref="S5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Intérêts 1° échéance</x:t>
        </x:r>
      </x:text>
    </x:comment>
    <x:comment ref="S6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Capital 1° échéance</x:t>
        </x:r>
      </x:text>
    </x:comment>
    <x:comment ref="V6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Différé SIMPLE</x:t>
        </x:r>
      </x:text>
    </x:comment>
    <x:comment ref="S7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Date déblocage</x:t>
        </x:r>
      </x:text>
    </x:comment>
    <x:comment ref="V7" authorId="0">
      <x:text>
        <x:r>
          <x:rPr>
            <x:b/>
            <x:vertAlign val="baseline"/>
            <x:sz val="8"/>
            <x:color rgb="FF000000"/>
            <x:rFont val="Tahoma"/>
            <x:family val="2"/>
          </x:rPr>
          <x:t>Différé Global</x:t>
        </x:r>
      </x:text>
    </x:comment>
  </x:commentList>
</x:comments>
</file>

<file path=xl/sharedStrings.xml><?xml version="1.0" encoding="utf-8"?>
<x:sst xmlns:x="http://schemas.openxmlformats.org/spreadsheetml/2006/main">
  <x:si>
    <x:t>Nombre échéance par an</x:t>
  </x:si>
  <x:si>
    <x:t>Type Taux</x:t>
  </x:si>
  <x:si>
    <x:t>Periodicité</x:t>
  </x:si>
  <x:si>
    <x:t>Caractéristiques</x:t>
  </x:si>
  <x:si>
    <x:t>Frais</x:t>
  </x:si>
  <x:si>
    <x:t>Récapitulatif</x:t>
  </x:si>
  <x:si>
    <x:t>Nombre échéance total</x:t>
  </x:si>
  <x:si>
    <x:t>Montant emprunté :</x:t>
  </x:si>
  <x:si>
    <x:t>durée :</x:t>
  </x:si>
  <x:si>
    <x:t>ans</x:t>
  </x:si>
  <x:si>
    <x:t>Frais Fixe (ADI) / ech</x:t>
  </x:si>
  <x:si>
    <x:t>Date dernière échéance</x:t>
  </x:si>
  <x:si>
    <x:t>Durée totale (en mois)</x:t>
  </x:si>
  <x:si>
    <x:t>Mensuel</x:t>
  </x:si>
  <x:si>
    <x:t>et</x:t>
  </x:si>
  <x:si>
    <x:t>mois</x:t>
  </x:si>
  <x:si>
    <x:t>Frais variable (en %CRD)</x:t>
  </x:si>
  <x:si>
    <x:t>Nombre échéances</x:t>
  </x:si>
  <x:si>
    <x:t>Taux période</x:t>
  </x:si>
  <x:si>
    <x:t>Différé</x:t>
  </x:si>
  <x:si>
    <x:t>Trimestriel</x:t>
  </x:si>
  <x:si>
    <x:t>Taux annuel :</x:t>
  </x:si>
  <x:si>
    <x:t>1° échéance :</x:t>
  </x:si>
  <x:si>
    <x:t>Périodicité :</x:t>
  </x:si>
  <x:si>
    <x:t>Total Intérêts</x:t>
  </x:si>
  <x:si>
    <x:t>IntervalMois</x:t>
  </x:si>
  <x:si>
    <x:t>Semestriel</x:t>
  </x:si>
  <x:si>
    <x:t>Total Capital</x:t>
  </x:si>
  <x:si>
    <x:t>IntervalJour</x:t>
  </x:si>
  <x:si>
    <x:t>Annuel</x:t>
  </x:si>
  <x:si>
    <x:t>Nombre de mois différé</x:t>
  </x:si>
  <x:si>
    <x:t>Total Frais</x:t>
  </x:si>
  <x:si>
    <x:t>J1</x:t>
  </x:si>
  <x:si>
    <x:t>Hebdomadaire</x:t>
  </x:si>
  <x:si>
    <x:t>Déblocage initial</x:t>
  </x:si>
  <x:si>
    <x:t>Coût total crédit</x:t>
  </x:si>
  <x:si>
    <x:t>J2</x:t>
  </x:si>
  <x:si>
    <x:t>Quinzaine</x:t>
  </x:si>
  <x:si>
    <x:t>M1</x:t>
  </x:si>
  <x:si>
    <x:t>MtEmprunt</x:t>
  </x:si>
  <x:si>
    <x:t>Bimensuel</x:t>
  </x:si>
  <x:si>
    <x:t>Opération</x:t>
  </x:si>
  <x:si>
    <x:t>Tableau d'amortissement</x:t>
  </x:si>
  <x:si>
    <x:t>Données recalcul</x:t>
  </x:si>
  <x:si>
    <x:t>Reste sur initial</x:t>
  </x:si>
  <x:si>
    <x:t>Date 
Échéance</x:t>
  </x:si>
  <x:si>
    <x:t>Capital restant dû</x:t>
  </x:si>
  <x:si>
    <x:t>Intérêts
payés</x:t>
  </x:si>
  <x:si>
    <x:t>Capital  remboursé</x:t>
  </x:si>
  <x:si>
    <x:t>Montant 
des Frais</x:t>
  </x:si>
  <x:si>
    <x:t>Total 
payé</x:t>
  </x:si>
  <x:si>
    <x:t>Montant échéance</x:t>
  </x:si>
  <x:si>
    <x:t>Nouveau Taux</x:t>
  </x:si>
  <x:si>
    <x:t>Capital remboursé</x:t>
  </x:si>
  <x:si>
    <x:t>Nouveau Nb d'échéance</x:t>
  </x:si>
  <x:si>
    <x:t>Nouvelle échéance</x:t>
  </x:si>
  <x:si>
    <x:t>Frais opération</x:t>
  </x:si>
  <x:si>
    <x:t>N°</x:t>
  </x:si>
  <x:si>
    <x:t>Année</x:t>
  </x:si>
  <x:si>
    <x:t>Ech</x:t>
  </x:si>
  <x:si>
    <x:t>Total / filtrage</x:t>
  </x:si>
  <x:si>
    <x:t>Colonne</x:t>
  </x:si>
  <x:si>
    <x:t>Décimalisation de la monnaie</x:t>
  </x:si>
  <x:si>
    <x:t>Non</x:t>
  </x:si>
  <x:si>
    <x:t>Nombre de décimales</x:t>
  </x:si>
  <x:si>
    <x:t>Verouillé</x:t>
  </x:si>
  <x:si>
    <x:t>(A CACHER)</x:t>
  </x:si>
  <x:si>
    <x:t>Type d'amortissement</x:t>
  </x:si>
  <x:si>
    <x:t>Limitation de l'amortissement</x:t>
  </x:si>
  <x:si>
    <x:t>à</x:t>
  </x:si>
  <x:si>
    <x:t>an(s)  et / ou</x:t>
  </x:si>
  <x:si>
    <x:t>Calcul première échéance</x:t>
  </x:si>
  <x:si>
    <x:t>Date première échéance :</x:t>
  </x:si>
  <x:si>
    <x:t>Date déblocage théorique :</x:t>
  </x:si>
  <x:si>
    <x:t>Date déblocage réel :</x:t>
  </x:si>
  <x:si>
    <x:t>-1-</x:t>
  </x:si>
  <x:si>
    <x:t>-2-</x:t>
  </x:si>
  <x:si>
    <x:t>-3-</x:t>
  </x:si>
  <x:si>
    <x:t>Date déblocage fonds :</x:t>
  </x:si>
  <x:si>
    <x:t>Montant des Intérêts :</x:t>
  </x:si>
  <x:si>
    <x:t>Montant du capital :</x:t>
  </x:si>
  <x:si>
    <x:t>Total échéance (hors frais) 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</x:si>
</x:sst>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9">
    <x:numFmt numFmtId="164" formatCode="0.000%"/>
    <x:numFmt numFmtId="165" formatCode="0.000000%"/>
    <x:numFmt numFmtId="166" formatCode=".000000%"/>
    <x:numFmt numFmtId="167" formatCode="#"/>
    <x:numFmt numFmtId="168" formatCode="0.0"/>
    <x:numFmt numFmtId="169" formatCode="#,##0.00;\-#,##0.00;\-\ "/>
    <x:numFmt numFmtId="170" formatCode="#,##0.00;\-#,##0.00;\-"/>
    <x:numFmt numFmtId="171" formatCode="#,##0.00;\-#,##0.00;&quot;&quot;"/>
    <x:numFmt numFmtId="172" formatCode="dd/MM/yyyy"/>
  </x:numFmts>
  <x:fonts count="22" x14ac:knownFonts="1">
    <x:font>
      <x:sz val="10"/>
      <x:name val="Arial"/>
    </x:font>
    <x:font>
      <x:sz val="9"/>
      <x:name val="Arial"/>
      <x:family val="2"/>
    </x:font>
    <x:font>
      <x:u/>
      <x:sz val="9"/>
      <x:color indexed="12"/>
      <x:name val="Arial"/>
      <x:family val="2"/>
    </x:font>
    <x:font>
      <x:u/>
      <x:sz val="10"/>
      <x:color indexed="12"/>
      <x:name val="Arial"/>
      <x:family val="2"/>
    </x:font>
    <x:font>
      <x:sz val="9"/>
      <x:color indexed="24"/>
      <x:name val="Arial"/>
      <x:family val="2"/>
    </x:font>
    <x:font>
      <x:b/>
      <x:sz val="10"/>
      <x:color indexed="9"/>
      <x:name val="Arial"/>
      <x:family val="2"/>
    </x:font>
    <x:font>
      <x:b/>
      <x:sz val="10"/>
      <x:name val="Arial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sz val="6"/>
      <x:color indexed="55"/>
      <x:name val="Arial"/>
      <x:family val="2"/>
    </x:font>
    <x:font>
      <x:sz val="8"/>
      <x:color indexed="55"/>
      <x:name val="Arial"/>
      <x:family val="2"/>
    </x:font>
    <x:font>
      <x:b/>
      <x:sz val="8"/>
      <x:color indexed="9"/>
      <x:name val="Arial"/>
      <x:family val="2"/>
    </x:font>
    <x:font>
      <x:sz val="10"/>
      <x:color indexed="9"/>
      <x:name val="Arial"/>
      <x:family val="2"/>
    </x:font>
    <x:font>
      <x:b/>
      <x:sz val="10"/>
      <x:color indexed="22"/>
      <x:name val="Arial"/>
      <x:family val="2"/>
    </x:font>
    <x:font>
      <x:sz val="10"/>
      <x:color indexed="22"/>
      <x:name val="Arial"/>
      <x:family val="2"/>
    </x:font>
    <x:font>
      <x:sz val="10"/>
      <x:color indexed="23"/>
      <x:name val="Arial"/>
      <x:family val="2"/>
    </x:font>
    <x:font>
      <x:sz val="10"/>
      <x:color indexed="55"/>
      <x:name val="Arial"/>
      <x:family val="2"/>
    </x:font>
    <x:font>
      <x:sz val="10"/>
      <x:color indexed="63"/>
      <x:name val="Arial"/>
      <x:family val="2"/>
    </x:font>
    <x:font>
      <x:sz val="9"/>
      <x:color indexed="9"/>
      <x:name val="Arial"/>
      <x:family val="2"/>
    </x:font>
    <x:font>
      <x:sz val="8"/>
      <x:color rgb="FF000000"/>
      <x:name val="Tahoma"/>
      <x:family val="2"/>
    </x:font>
    <x:font>
      <x:b/>
      <x:sz val="8"/>
      <x:color rgb="FF000000"/>
      <x:name val="Tahoma"/>
      <x:family val="2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indexed="24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25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3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1"/>
        <x:bgColor indexed="64"/>
      </x:patternFill>
    </x:fill>
  </x:fills>
  <x:borders count="71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/>
      <x:right/>
      <x:top style="medium">
        <x:color indexed="24"/>
      </x:top>
      <x:bottom style="medium">
        <x:color indexed="24"/>
      </x:bottom>
      <x:diagonal/>
    </x:border>
    <x:border>
      <x:left style="medium">
        <x:color indexed="24"/>
      </x:left>
      <x:right style="hair">
        <x:color indexed="17"/>
      </x:right>
      <x:top style="hair">
        <x:color indexed="19"/>
      </x:top>
      <x:bottom style="hair">
        <x:color indexed="19"/>
      </x:bottom>
      <x:diagonal/>
    </x:border>
    <x:border>
      <x:left style="medium">
        <x:color indexed="24"/>
      </x:left>
      <x:right style="hair">
        <x:color indexed="17"/>
      </x:right>
      <x:top style="hair">
        <x:color indexed="19"/>
      </x:top>
      <x:bottom style="medium">
        <x:color indexed="24"/>
      </x:bottom>
      <x:diagonal/>
    </x:border>
    <x:border>
      <x:left style="medium">
        <x:color indexed="24"/>
      </x:left>
      <x:right/>
      <x:top/>
      <x:bottom style="thin">
        <x:color indexed="24"/>
      </x:bottom>
      <x:diagonal/>
    </x:border>
    <x:border>
      <x:left style="medium">
        <x:color indexed="24"/>
      </x:left>
      <x:right/>
      <x:top style="thin">
        <x:color indexed="24"/>
      </x:top>
      <x:bottom style="medium">
        <x:color indexed="24"/>
      </x:bottom>
      <x:diagonal/>
    </x:border>
    <x:border>
      <x:left/>
      <x:right/>
      <x:top/>
      <x:bottom style="thin">
        <x:color indexed="24"/>
      </x:bottom>
      <x:diagonal/>
    </x:border>
    <x:border>
      <x:left/>
      <x:right/>
      <x:top style="thin">
        <x:color indexed="24"/>
      </x:top>
      <x:bottom style="thin">
        <x:color indexed="24"/>
      </x:bottom>
      <x:diagonal/>
    </x:border>
    <x:border>
      <x:left/>
      <x:right/>
      <x:top style="thin">
        <x:color indexed="24"/>
      </x:top>
      <x:bottom style="medium">
        <x:color indexed="24"/>
      </x:bottom>
      <x:diagonal/>
    </x:border>
    <x:border>
      <x:left style="medium">
        <x:color indexed="24"/>
      </x:left>
      <x:right style="hair">
        <x:color indexed="17"/>
      </x:right>
      <x:top style="medium">
        <x:color indexed="24"/>
      </x:top>
      <x:bottom style="hair">
        <x:color indexed="19"/>
      </x:bottom>
      <x:diagonal/>
    </x:border>
    <x:border>
      <x:left style="hair">
        <x:color indexed="17"/>
      </x:left>
      <x:right style="hair">
        <x:color indexed="17"/>
      </x:right>
      <x:top style="medium">
        <x:color indexed="24"/>
      </x:top>
      <x:bottom style="hair">
        <x:color indexed="19"/>
      </x:bottom>
      <x:diagonal/>
    </x:border>
    <x:border>
      <x:left style="hair">
        <x:color indexed="17"/>
      </x:left>
      <x:right style="hair">
        <x:color indexed="17"/>
      </x:right>
      <x:top style="hair">
        <x:color indexed="19"/>
      </x:top>
      <x:bottom style="hair">
        <x:color indexed="19"/>
      </x:bottom>
      <x:diagonal/>
    </x:border>
    <x:border>
      <x:left style="hair">
        <x:color indexed="17"/>
      </x:left>
      <x:right style="medium">
        <x:color indexed="24"/>
      </x:right>
      <x:top style="hair">
        <x:color indexed="19"/>
      </x:top>
      <x:bottom style="hair">
        <x:color indexed="19"/>
      </x:bottom>
      <x:diagonal/>
    </x:border>
    <x:border>
      <x:left style="hair">
        <x:color indexed="17"/>
      </x:left>
      <x:right style="hair">
        <x:color indexed="17"/>
      </x:right>
      <x:top style="hair">
        <x:color indexed="19"/>
      </x:top>
      <x:bottom style="medium">
        <x:color indexed="24"/>
      </x:bottom>
      <x:diagonal/>
    </x:border>
    <x:border>
      <x:left style="hair">
        <x:color indexed="17"/>
      </x:left>
      <x:right style="medium">
        <x:color indexed="24"/>
      </x:right>
      <x:top style="hair">
        <x:color indexed="19"/>
      </x:top>
      <x:bottom style="medium">
        <x:color indexed="24"/>
      </x:bottom>
      <x:diagonal/>
    </x:border>
    <x:border>
      <x:left/>
      <x:right style="medium">
        <x:color indexed="24"/>
      </x:right>
      <x:top/>
      <x:bottom/>
      <x:diagonal/>
    </x:border>
    <x:border>
      <x:left style="medium">
        <x:color indexed="24"/>
      </x:left>
      <x:right/>
      <x:top/>
      <x:bottom/>
      <x:diagonal/>
    </x:border>
    <x:border>
      <x:left style="medium">
        <x:color indexed="24"/>
      </x:left>
      <x:right style="hair">
        <x:color indexed="17"/>
      </x:right>
      <x:top style="medium">
        <x:color indexed="24"/>
      </x:top>
      <x:bottom/>
      <x:diagonal/>
    </x:border>
    <x:border>
      <x:left style="hair">
        <x:color indexed="17"/>
      </x:left>
      <x:right style="hair">
        <x:color indexed="17"/>
      </x:right>
      <x:top style="medium">
        <x:color indexed="24"/>
      </x:top>
      <x:bottom/>
      <x:diagonal/>
    </x:border>
    <x:border>
      <x:left style="hair">
        <x:color indexed="17"/>
      </x:left>
      <x:right style="medium">
        <x:color indexed="24"/>
      </x:right>
      <x:top style="medium">
        <x:color indexed="24"/>
      </x:top>
      <x:bottom/>
      <x:diagonal/>
    </x:border>
    <x:border>
      <x:left style="medium">
        <x:color indexed="24"/>
      </x:left>
      <x:right/>
      <x:top style="medium">
        <x:color indexed="24"/>
      </x:top>
      <x:bottom style="medium">
        <x:color indexed="24"/>
      </x:bottom>
      <x:diagonal/>
    </x:border>
    <x:border>
      <x:left style="thin">
        <x:color indexed="23"/>
      </x:left>
      <x:right/>
      <x:top style="thin">
        <x:color indexed="23"/>
      </x:top>
      <x:bottom/>
      <x:diagonal/>
    </x:border>
    <x:border>
      <x:left/>
      <x:right/>
      <x:top style="thin">
        <x:color indexed="23"/>
      </x:top>
      <x:bottom/>
      <x:diagonal/>
    </x:border>
    <x:border>
      <x:left/>
      <x:right style="thin">
        <x:color indexed="23"/>
      </x:right>
      <x:top style="thin">
        <x:color indexed="23"/>
      </x:top>
      <x:bottom/>
      <x:diagonal/>
    </x:border>
    <x:border>
      <x:left style="thin">
        <x:color indexed="23"/>
      </x:left>
      <x:right/>
      <x:top/>
      <x:bottom/>
      <x:diagonal/>
    </x:border>
    <x:border>
      <x:left/>
      <x:right style="thin">
        <x:color indexed="23"/>
      </x:right>
      <x:top/>
      <x:bottom/>
      <x:diagonal/>
    </x:border>
    <x:border>
      <x:left style="thin">
        <x:color indexed="23"/>
      </x:left>
      <x:right/>
      <x:top style="thin">
        <x:color indexed="23"/>
      </x:top>
      <x:bottom style="thin">
        <x:color indexed="23"/>
      </x:bottom>
      <x:diagonal/>
    </x:border>
    <x:border>
      <x:left/>
      <x:right/>
      <x:top style="thin">
        <x:color indexed="23"/>
      </x:top>
      <x:bottom style="thin">
        <x:color indexed="23"/>
      </x:bottom>
      <x:diagonal/>
    </x:border>
    <x:border>
      <x:left/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/>
      <x:right/>
      <x:top/>
      <x:bottom style="thin">
        <x:color indexed="23"/>
      </x:bottom>
      <x:diagonal/>
    </x:border>
    <x:border>
      <x:left/>
      <x:right style="thin">
        <x:color indexed="23"/>
      </x:right>
      <x:top/>
      <x:bottom style="thin">
        <x:color indexed="23"/>
      </x:bottom>
      <x:diagonal/>
    </x:border>
    <x:border>
      <x:left style="thin">
        <x:color indexed="23"/>
      </x:left>
      <x:right/>
      <x:top/>
      <x:bottom style="thin">
        <x:color indexed="23"/>
      </x:bottom>
      <x:diagonal/>
    </x:border>
    <x:border>
      <x:left/>
      <x:right/>
      <x:top/>
      <x:bottom style="medium">
        <x:color indexed="24"/>
      </x:bottom>
      <x:diagonal/>
    </x:border>
    <x:border>
      <x:left style="medium">
        <x:color indexed="24"/>
      </x:left>
      <x:right/>
      <x:top style="medium">
        <x:color indexed="24"/>
      </x:top>
      <x:bottom/>
      <x:diagonal/>
    </x:border>
    <x:border>
      <x:left style="medium">
        <x:color indexed="24"/>
      </x:left>
      <x:right/>
      <x:top/>
      <x:bottom style="medium">
        <x:color indexed="2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medium">
        <x:color indexed="24"/>
      </x:top>
      <x:bottom/>
      <x:diagonal/>
    </x:border>
    <x:border>
      <x:left/>
      <x:right style="medium">
        <x:color indexed="24"/>
      </x:right>
      <x:top style="medium">
        <x:color indexed="24"/>
      </x:top>
      <x:bottom/>
      <x:diagonal/>
    </x:border>
    <x:border>
      <x:left/>
      <x:right style="medium">
        <x:color indexed="24"/>
      </x:right>
      <x:top/>
      <x:bottom style="medium">
        <x:color indexed="24"/>
      </x:bottom>
      <x:diagonal/>
    </x:border>
    <x:border>
      <x:left style="hair">
        <x:color indexed="17"/>
      </x:left>
      <x:right style="medium">
        <x:color indexed="24"/>
      </x:right>
      <x:top style="medium">
        <x:color indexed="24"/>
      </x:top>
      <x:bottom style="hair">
        <x:color indexed="17"/>
      </x:bottom>
      <x:diagonal/>
    </x:border>
    <x:border>
      <x:left style="hair">
        <x:color indexed="17"/>
      </x:left>
      <x:right style="medium">
        <x:color indexed="24"/>
      </x:right>
      <x:top style="hair">
        <x:color indexed="17"/>
      </x:top>
      <x:bottom style="hair">
        <x:color indexed="19"/>
      </x:bottom>
      <x:diagonal/>
    </x:border>
    <x:border>
      <x:left style="thin">
        <x:color indexed="24"/>
      </x:left>
      <x:right/>
      <x:top style="medium">
        <x:color indexed="24"/>
      </x:top>
      <x:bottom style="medium">
        <x:color indexed="24"/>
      </x:bottom>
      <x:diagonal/>
    </x:border>
    <x:border>
      <x:left/>
      <x:right style="medium">
        <x:color indexed="24"/>
      </x:right>
      <x:top style="medium">
        <x:color indexed="24"/>
      </x:top>
      <x:bottom style="medium">
        <x:color indexed="24"/>
      </x:bottom>
      <x:diagonal/>
    </x:border>
    <x:border>
      <x:left style="thin">
        <x:color indexed="24"/>
      </x:left>
      <x:right/>
      <x:top/>
      <x:bottom style="thin">
        <x:color indexed="24"/>
      </x:bottom>
      <x:diagonal/>
    </x:border>
    <x:border>
      <x:left/>
      <x:right style="thin">
        <x:color indexed="24"/>
      </x:right>
      <x:top/>
      <x:bottom style="thin">
        <x:color indexed="24"/>
      </x:bottom>
      <x:diagonal/>
    </x:border>
    <x:border>
      <x:left/>
      <x:right style="medium">
        <x:color indexed="24"/>
      </x:right>
      <x:top/>
      <x:bottom style="thin">
        <x:color indexed="24"/>
      </x:bottom>
      <x:diagonal/>
    </x:border>
    <x:border>
      <x:left/>
      <x:right style="medium">
        <x:color indexed="24"/>
      </x:right>
      <x:top style="thin">
        <x:color indexed="24"/>
      </x:top>
      <x:bottom style="thin">
        <x:color indexed="24"/>
      </x:bottom>
      <x:diagonal/>
    </x:border>
    <x:border>
      <x:left style="thin">
        <x:color indexed="24"/>
      </x:left>
      <x:right/>
      <x:top style="thin">
        <x:color indexed="24"/>
      </x:top>
      <x:bottom style="medium">
        <x:color indexed="24"/>
      </x:bottom>
      <x:diagonal/>
    </x:border>
    <x:border>
      <x:left/>
      <x:right style="thin">
        <x:color indexed="24"/>
      </x:right>
      <x:top style="thin">
        <x:color indexed="24"/>
      </x:top>
      <x:bottom style="medium">
        <x:color indexed="24"/>
      </x:bottom>
      <x:diagonal/>
    </x:border>
    <x:border>
      <x:left/>
      <x:right style="medium">
        <x:color indexed="24"/>
      </x:right>
      <x:top style="thin">
        <x:color indexed="24"/>
      </x:top>
      <x:bottom style="medium">
        <x:color indexed="24"/>
      </x:bottom>
      <x:diagonal/>
    </x:border>
    <x:border>
      <x:left style="thin">
        <x:color indexed="24"/>
      </x:left>
      <x:right style="thin">
        <x:color indexed="24"/>
      </x:right>
      <x:top style="thin">
        <x:color indexed="24"/>
      </x:top>
      <x:bottom style="thin">
        <x:color indexed="24"/>
      </x:bottom>
      <x:diagonal/>
    </x:border>
    <x:border>
      <x:left style="thin">
        <x:color indexed="24"/>
      </x:left>
      <x:right style="medium">
        <x:color indexed="24"/>
      </x:right>
      <x:top style="thin">
        <x:color indexed="24"/>
      </x:top>
      <x:bottom style="thin">
        <x:color indexed="24"/>
      </x:bottom>
      <x:diagonal/>
    </x:border>
    <x:border>
      <x:left style="thin">
        <x:color indexed="24"/>
      </x:left>
      <x:right style="medium">
        <x:color indexed="24"/>
      </x:right>
      <x:top style="thin">
        <x:color indexed="24"/>
      </x:top>
      <x:bottom style="medium">
        <x:color indexed="24"/>
      </x:bottom>
      <x:diagonal/>
    </x:border>
    <x:border>
      <x:left style="medium">
        <x:color indexed="24"/>
      </x:left>
      <x:right style="hair">
        <x:color indexed="17"/>
      </x:right>
      <x:top/>
      <x:bottom/>
      <x:diagonal/>
    </x:border>
    <x:border>
      <x:left style="medium">
        <x:color indexed="24"/>
      </x:left>
      <x:right style="hair">
        <x:color indexed="17"/>
      </x:right>
      <x:top/>
      <x:bottom style="medium">
        <x:color indexed="24"/>
      </x:bottom>
      <x:diagonal/>
    </x:border>
    <x:border>
      <x:left style="hair">
        <x:color indexed="17"/>
      </x:left>
      <x:right style="hair">
        <x:color indexed="17"/>
      </x:right>
      <x:top/>
      <x:bottom/>
      <x:diagonal/>
    </x:border>
    <x:border>
      <x:left style="hair">
        <x:color indexed="17"/>
      </x:left>
      <x:right style="hair">
        <x:color indexed="17"/>
      </x:right>
      <x:top/>
      <x:bottom style="medium">
        <x:color indexed="24"/>
      </x:bottom>
      <x:diagonal/>
    </x:border>
    <x:border>
      <x:left style="hair">
        <x:color indexed="17"/>
      </x:left>
      <x:right style="medium">
        <x:color indexed="24"/>
      </x:right>
      <x:top/>
      <x:bottom/>
      <x:diagonal/>
    </x:border>
    <x:border>
      <x:left style="hair">
        <x:color indexed="17"/>
      </x:left>
      <x:right style="medium">
        <x:color indexed="24"/>
      </x:right>
      <x:top/>
      <x:bottom style="medium">
        <x:color indexed="24"/>
      </x:bottom>
      <x:diagonal/>
    </x:border>
    <x:border>
      <x:left style="thin">
        <x:color indexed="24"/>
      </x:left>
      <x:right/>
      <x:top style="medium">
        <x:color indexed="24"/>
      </x:top>
      <x:bottom/>
      <x:diagonal/>
    </x:border>
    <x:border>
      <x:left style="thin">
        <x:color indexed="24"/>
      </x:left>
      <x:right/>
      <x:top/>
      <x:bottom/>
      <x:diagonal/>
    </x:border>
    <x:border>
      <x:left style="thin">
        <x:color indexed="24"/>
      </x:left>
      <x:right/>
      <x:top/>
      <x:bottom style="medium">
        <x:color indexed="24"/>
      </x:bottom>
      <x:diagonal/>
    </x:border>
    <x:border>
      <x:left style="thin">
        <x:color indexed="24"/>
      </x:left>
      <x:right style="medium">
        <x:color indexed="24"/>
      </x:right>
      <x:top style="medium">
        <x:color indexed="24"/>
      </x:top>
      <x:bottom/>
      <x:diagonal/>
    </x:border>
    <x:border>
      <x:left style="thin">
        <x:color indexed="24"/>
      </x:left>
      <x:right style="medium">
        <x:color indexed="24"/>
      </x:right>
      <x:top/>
      <x:bottom/>
      <x:diagonal/>
    </x:border>
    <x:border>
      <x:left style="thin">
        <x:color indexed="24"/>
      </x:left>
      <x:right style="medium">
        <x:color indexed="24"/>
      </x:right>
      <x:top/>
      <x:bottom style="medium">
        <x:color indexed="24"/>
      </x:bottom>
      <x:diagonal/>
    </x:border>
    <x:border>
      <x:left/>
      <x:right style="thin">
        <x:color indexed="24"/>
      </x:right>
      <x:top style="medium">
        <x:color indexed="24"/>
      </x:top>
      <x:bottom/>
      <x:diagonal/>
    </x:border>
    <x:border>
      <x:left/>
      <x:right style="thin">
        <x:color indexed="24"/>
      </x:right>
      <x:top/>
      <x:bottom/>
      <x:diagonal/>
    </x:border>
    <x:border>
      <x:left/>
      <x:right style="thin">
        <x:color indexed="24"/>
      </x:right>
      <x:top/>
      <x:bottom style="medium">
        <x:color indexed="24"/>
      </x:bottom>
      <x:diagonal/>
    </x:border>
  </x:borders>
  <x:cellStyleXfs count="191">
    <x:xf numFmtId="0" fontId="0" fillId="0" borderId="0"/>
    <x:xf numFmtId="171" fontId="12" fillId="2" borderId="2" applyFont="0" applyFill="0" applyBorder="0" applyAlignment="0" applyProtection="0">
      <x:alignment wrapText="1"/>
    </x:xf>
    <x:xf numFmtId="170" fontId="12" fillId="2" borderId="2" applyFont="0" applyFill="0" applyBorder="0" applyAlignment="0" applyProtection="0">
      <x:alignment wrapText="1"/>
    </x:xf>
    <x:xf numFmtId="0" fontId="3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4" fontId="0" fillId="0" borderId="0" applyNumberFormat="1" applyFill="1" applyBorder="0" applyAlignment="1" applyProtection="1">
      <x:protection locked="0" hidden="0"/>
    </x:xf>
    <x:xf numFmtId="165" fontId="9" fillId="0" borderId="0" applyNumberFormat="1" applyFill="1" applyBorder="0" applyAlignment="1" applyProtection="1">
      <x:protection locked="0" hidden="0"/>
    </x:xf>
    <x:xf numFmtId="4" fontId="9" fillId="0" borderId="0" applyNumberFormat="1" applyFill="1" applyBorder="0" applyAlignment="1" applyProtection="1">
      <x:protection locked="0" hidden="0"/>
    </x:xf>
    <x:xf numFmtId="0" fontId="7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4" fontId="1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2" fillId="0" borderId="0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1"/>
    </x:xf>
    <x:xf numFmtId="0" fontId="6" fillId="9" borderId="38" applyNumberFormat="1" applyFill="0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164" fontId="12" fillId="2" borderId="34" applyNumberFormat="1" applyFill="0" applyBorder="1" applyAlignment="1" applyProtection="1">
      <x:protection locked="1" hidden="1"/>
    </x:xf>
    <x:xf numFmtId="4" fontId="0" fillId="2" borderId="39" applyNumberFormat="1" applyFill="0" applyBorder="1" applyAlignment="1" applyProtection="1">
      <x:protection locked="1" hidden="1"/>
    </x:xf>
    <x:xf numFmtId="0" fontId="0" fillId="4" borderId="39" applyNumberFormat="1" applyFill="0" applyBorder="1" applyAlignment="1" applyProtection="1">
      <x:protection locked="1" hidden="1"/>
    </x:xf>
    <x:xf numFmtId="4" fontId="0" fillId="4" borderId="39" applyNumberFormat="1" applyFill="0" applyBorder="1" applyAlignment="1" applyProtection="1">
      <x:protection locked="1" hidden="1"/>
    </x:xf>
    <x:xf numFmtId="0" fontId="5" fillId="4" borderId="40" applyNumberFormat="1" applyFill="0" applyBorder="1" applyAlignment="1" applyProtection="1">
      <x:protection locked="1" hidden="1"/>
    </x:xf>
    <x:xf numFmtId="0" fontId="12" fillId="2" borderId="34" applyNumberFormat="1" applyFill="0" applyBorder="1" applyAlignment="1" applyProtection="1">
      <x:protection locked="1" hidden="1"/>
    </x:xf>
    <x:xf numFmtId="0" fontId="0" fillId="4" borderId="40" applyNumberFormat="1" applyFill="0" applyBorder="1" applyAlignment="1" applyProtection="1">
      <x:protection locked="1" hidden="1"/>
    </x:xf>
    <x:xf numFmtId="0" fontId="5" fillId="4" borderId="39" applyNumberFormat="1" applyFill="0" applyBorder="1" applyAlignment="1" applyProtection="1">
      <x:protection locked="1" hidden="1"/>
    </x:xf>
    <x:xf numFmtId="0" fontId="0" fillId="9" borderId="36" applyNumberFormat="1" applyFill="0" applyBorder="1" applyAlignment="1" applyProtection="1">
      <x:protection locked="0" hidden="0"/>
    </x:xf>
    <x:xf numFmtId="164" fontId="0" fillId="4" borderId="17" applyNumberFormat="1" applyFill="0" applyBorder="1" applyAlignment="1" applyProtection="1">
      <x:protection locked="1" hidden="1"/>
    </x:xf>
    <x:xf numFmtId="0" fontId="6" fillId="4" borderId="0" applyNumberFormat="1" applyFill="0" applyBorder="0" applyAlignment="1" applyProtection="1">
      <x:protection locked="1" hidden="1"/>
    </x:xf>
    <x:xf numFmtId="170" fontId="6" fillId="3" borderId="53" applyNumberFormat="1" applyFill="0" applyBorder="1" applyAlignment="1" applyProtection="1">
      <x:protection locked="0" hidden="0"/>
    </x:xf>
    <x:xf numFmtId="0" fontId="6" fillId="3" borderId="53" applyNumberFormat="1" applyFill="0" applyBorder="1" applyAlignment="1" applyProtection="1">
      <x:protection locked="0" hidden="0"/>
    </x:xf>
    <x:xf numFmtId="0" fontId="0" fillId="4" borderId="0" applyNumberFormat="1" applyFill="0" applyBorder="0" applyAlignment="1" applyProtection="1">
      <x:protection locked="1" hidden="1"/>
    </x:xf>
    <x:xf numFmtId="0" fontId="0" fillId="4" borderId="16" applyNumberFormat="1" applyFill="0" applyBorder="1" applyAlignment="1" applyProtection="1">
      <x:protection locked="1" hidden="1"/>
    </x:xf>
    <x:xf numFmtId="0" fontId="0" fillId="4" borderId="17" applyNumberFormat="1" applyFill="0" applyBorder="1" applyAlignment="1" applyProtection="1">
      <x:protection locked="1" hidden="1"/>
    </x:xf>
    <x:xf numFmtId="4" fontId="0" fillId="3" borderId="54" applyNumberFormat="1" applyFill="0" applyBorder="1" applyAlignment="1" applyProtection="1">
      <x:protection locked="0" hidden="0"/>
    </x:xf>
    <x:xf numFmtId="14" fontId="0" fillId="4" borderId="16" applyNumberFormat="1" applyFill="0" applyBorder="1" applyAlignment="1" applyProtection="1">
      <x:protection locked="1" hidden="1"/>
    </x:xf>
    <x:xf numFmtId="165" fontId="10" fillId="0" borderId="0" applyNumberFormat="1" applyFill="1" applyBorder="0" applyAlignment="1" applyProtection="1">
      <x:protection locked="0" hidden="0"/>
    </x:xf>
    <x:xf numFmtId="4" fontId="0" fillId="4" borderId="0" applyNumberFormat="1" applyFill="0" applyBorder="0" applyAlignment="1" applyProtection="1">
      <x:protection locked="1" hidden="1"/>
    </x:xf>
    <x:xf numFmtId="0" fontId="0" fillId="4" borderId="35" applyNumberFormat="1" applyFill="0" applyBorder="1" applyAlignment="1" applyProtection="1">
      <x:protection locked="1" hidden="1"/>
    </x:xf>
    <x:xf numFmtId="0" fontId="0" fillId="4" borderId="33" applyNumberFormat="1" applyFill="0" applyBorder="1" applyAlignment="1" applyProtection="1">
      <x:protection locked="1" hidden="1"/>
    </x:xf>
    <x:xf numFmtId="164" fontId="0" fillId="3" borderId="55" applyNumberFormat="1" applyFill="0" applyBorder="1" applyAlignment="1" applyProtection="1">
      <x:protection locked="0" hidden="0"/>
    </x:xf>
    <x:xf numFmtId="165" fontId="0" fillId="0" borderId="0" applyNumberFormat="1" applyFill="1" applyBorder="0" applyAlignment="1" applyProtection="1">
      <x:protection locked="1" hidden="0"/>
    </x:xf>
    <x:xf numFmtId="0" fontId="6" fillId="8" borderId="38" applyNumberFormat="1" applyFill="0" applyBorder="1" applyAlignment="1" applyProtection="1">
      <x:protection locked="0" hidden="0"/>
    </x:xf>
    <x:xf numFmtId="164" fontId="6" fillId="3" borderId="53" applyNumberFormat="1" applyFill="0" applyBorder="1" applyAlignment="1" applyProtection="1">
      <x:protection locked="0" hidden="0"/>
    </x:xf>
    <x:xf numFmtId="0" fontId="7" fillId="4" borderId="7" applyNumberFormat="1" applyFill="0" applyBorder="1" applyAlignment="1" applyProtection="1">
      <x:protection locked="1" hidden="1"/>
    </x:xf>
    <x:xf numFmtId="0" fontId="7" fillId="4" borderId="0" applyNumberFormat="1" applyFill="0" applyBorder="0" applyAlignment="1" applyProtection="1">
      <x:protection locked="1" hidden="1"/>
    </x:xf>
    <x:xf numFmtId="0" fontId="7" fillId="4" borderId="16" applyNumberFormat="1" applyFill="0" applyBorder="1" applyAlignment="1" applyProtection="1">
      <x:protection locked="1" hidden="1"/>
    </x:xf>
    <x:xf numFmtId="170" fontId="0" fillId="4" borderId="16" applyNumberFormat="1" applyFill="0" applyBorder="1" applyAlignment="1" applyProtection="1">
      <x:protection locked="1" hidden="1"/>
    </x:xf>
    <x:xf numFmtId="4" fontId="9" fillId="0" borderId="0" applyNumberFormat="1" applyFill="1" applyBorder="0" applyAlignment="1" applyProtection="1">
      <x:protection locked="1" hidden="1"/>
    </x:xf>
    <x:xf numFmtId="168" fontId="0" fillId="0" borderId="0" applyNumberFormat="1" applyFill="1" applyBorder="0" applyAlignment="1" applyProtection="1">
      <x:protection locked="1" hidden="0"/>
    </x:xf>
    <x:xf numFmtId="0" fontId="0" fillId="8" borderId="36" applyNumberFormat="1" applyFill="0" applyBorder="1" applyAlignment="1" applyProtection="1">
      <x:protection locked="0" hidden="0"/>
    </x:xf>
    <x:xf numFmtId="172" fontId="0" fillId="3" borderId="53" applyNumberFormat="1" applyFill="0" applyBorder="1" applyAlignment="1" applyProtection="1">
      <x:protection locked="0" hidden="0"/>
    </x:xf>
    <x:xf numFmtId="0" fontId="6" fillId="4" borderId="17" applyNumberFormat="1" applyFill="0" applyBorder="1" applyAlignment="1" applyProtection="1">
      <x:protection locked="1" hidden="1"/>
    </x:xf>
    <x:xf numFmtId="0" fontId="0" fillId="3" borderId="54" applyNumberFormat="1" applyFill="0" applyBorder="1" applyAlignment="1" applyProtection="1">
      <x:protection locked="0" hidden="0"/>
    </x:xf>
    <x:xf numFmtId="14" fontId="9" fillId="0" borderId="0" applyNumberFormat="1" applyFill="1" applyBorder="0" applyAlignment="1" applyProtection="1">
      <x:protection locked="1" hidden="1"/>
    </x:xf>
    <x:xf numFmtId="164" fontId="0" fillId="4" borderId="35" applyNumberFormat="1" applyFill="0" applyBorder="1" applyAlignment="1" applyProtection="1">
      <x:protection locked="1" hidden="1"/>
    </x:xf>
    <x:xf numFmtId="0" fontId="6" fillId="4" borderId="33" applyNumberFormat="1" applyFill="0" applyBorder="1" applyAlignment="1" applyProtection="1">
      <x:protection locked="1" hidden="1"/>
    </x:xf>
    <x:xf numFmtId="170" fontId="5" fillId="2" borderId="33" applyNumberFormat="1" applyFill="0" applyBorder="1" applyAlignment="1" applyProtection="1">
      <x:protection locked="1" hidden="1"/>
    </x:xf>
    <x:xf numFmtId="4" fontId="0" fillId="4" borderId="33" applyNumberFormat="1" applyFill="0" applyBorder="1" applyAlignment="1" applyProtection="1">
      <x:protection locked="1" hidden="1"/>
    </x:xf>
    <x:xf numFmtId="0" fontId="0" fillId="4" borderId="41" applyNumberFormat="1" applyFill="0" applyBorder="1" applyAlignment="1" applyProtection="1">
      <x:protection locked="1" hidden="1"/>
    </x:xf>
    <x:xf numFmtId="4" fontId="0" fillId="3" borderId="55" applyNumberFormat="1" applyFill="0" applyBorder="1" applyAlignment="1" applyProtection="1">
      <x:protection locked="0" hidden="0"/>
    </x:xf>
    <x:xf numFmtId="0" fontId="6" fillId="4" borderId="35" applyNumberFormat="1" applyFill="0" applyBorder="1" applyAlignment="1" applyProtection="1">
      <x:protection locked="1" hidden="1"/>
    </x:xf>
    <x:xf numFmtId="170" fontId="5" fillId="2" borderId="41" applyNumberFormat="1" applyFill="0" applyBorder="1" applyAlignment="1" applyProtection="1">
      <x:protection locked="1" hidden="1"/>
    </x:xf>
    <x:xf numFmtId="0" fontId="0" fillId="8" borderId="37" applyNumberFormat="1" applyFill="0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1" hidden="0"/>
    </x:xf>
    <x:xf numFmtId="0" fontId="6" fillId="7" borderId="38" applyNumberFormat="1" applyFill="0" applyBorder="1" applyAlignment="1" applyProtection="1">
      <x:protection locked="0" hidden="0"/>
    </x:xf>
    <x:xf numFmtId="164" fontId="5" fillId="2" borderId="21" applyNumberFormat="1" applyFill="0" applyBorder="1" applyAlignment="1" applyProtection="1">
      <x:protection locked="1" hidden="0"/>
    </x:xf>
    <x:xf numFmtId="164" fontId="5" fillId="2" borderId="2" applyNumberFormat="1" applyFill="0" applyBorder="1" applyAlignment="1" applyProtection="1">
      <x:protection locked="1" hidden="0"/>
    </x:xf>
    <x:xf numFmtId="164" fontId="5" fillId="2" borderId="45" applyNumberFormat="1" applyFill="0" applyBorder="1" applyAlignment="1" applyProtection="1">
      <x:protection locked="1" hidden="0"/>
    </x:xf>
    <x:xf numFmtId="0" fontId="5" fillId="2" borderId="21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45" applyNumberFormat="1" applyFill="0" applyBorder="1" applyAlignment="1" applyProtection="1">
      <x:protection locked="1" hidden="0"/>
    </x:xf>
    <x:xf numFmtId="165" fontId="11" fillId="2" borderId="21" applyNumberFormat="1" applyFill="0" applyBorder="1" applyAlignment="1" applyProtection="1">
      <x:protection locked="1" hidden="0"/>
    </x:xf>
    <x:xf numFmtId="165" fontId="11" fillId="2" borderId="45" applyNumberFormat="1" applyFill="0" applyBorder="1" applyAlignment="1" applyProtection="1">
      <x:protection locked="1" hidden="0"/>
    </x:xf>
    <x:xf numFmtId="169" fontId="0" fillId="7" borderId="36" applyNumberFormat="1" applyFill="0" applyBorder="1" applyAlignment="1" applyProtection="1">
      <x:protection locked="0" hidden="0"/>
    </x:xf>
    <x:xf numFmtId="0" fontId="6" fillId="5" borderId="0" applyNumberFormat="1" applyFill="0" applyBorder="0" applyAlignment="1" applyProtection="1">
      <x:protection locked="1" hidden="1"/>
    </x:xf>
    <x:xf numFmtId="167" fontId="7" fillId="4" borderId="18" applyNumberFormat="1" applyFill="0" applyBorder="1" applyAlignment="1" applyProtection="1">
      <x:protection locked="1" hidden="0"/>
    </x:xf>
    <x:xf numFmtId="167" fontId="7" fillId="4" borderId="19" applyNumberFormat="1" applyFill="0" applyBorder="1" applyAlignment="1" applyProtection="1">
      <x:protection locked="1" hidden="0"/>
    </x:xf>
    <x:xf numFmtId="167" fontId="7" fillId="4" borderId="20" applyNumberFormat="1" applyFill="0" applyBorder="1" applyAlignment="1" applyProtection="1">
      <x:protection locked="1" hidden="0"/>
    </x:xf>
    <x:xf numFmtId="0" fontId="8" fillId="4" borderId="34" applyNumberFormat="1" applyFill="0" applyBorder="1" applyAlignment="1" applyProtection="1">
      <x:protection locked="1" hidden="0"/>
    </x:xf>
    <x:xf numFmtId="0" fontId="8" fillId="4" borderId="39" applyNumberFormat="1" applyFill="0" applyBorder="1" applyAlignment="1" applyProtection="1">
      <x:protection locked="1" hidden="0"/>
    </x:xf>
    <x:xf numFmtId="0" fontId="8" fillId="4" borderId="68" applyNumberFormat="1" applyFill="0" applyBorder="1" applyAlignment="1" applyProtection="1">
      <x:protection locked="1" hidden="0"/>
    </x:xf>
    <x:xf numFmtId="0" fontId="8" fillId="4" borderId="62" applyNumberFormat="1" applyFill="0" applyBorder="1" applyAlignment="1" applyProtection="1">
      <x:protection locked="1" hidden="0"/>
    </x:xf>
    <x:xf numFmtId="0" fontId="8" fillId="4" borderId="65" applyNumberFormat="1" applyFill="0" applyBorder="1" applyAlignment="1" applyProtection="1">
      <x:protection locked="1" hidden="0"/>
    </x:xf>
    <x:xf numFmtId="0" fontId="8" fillId="4" borderId="40" applyNumberFormat="1" applyFill="0" applyBorder="1" applyAlignment="1" applyProtection="1">
      <x:protection locked="1" hidden="0"/>
    </x:xf>
    <x:xf numFmtId="164" fontId="8" fillId="4" borderId="56" applyNumberFormat="1" applyFill="0" applyBorder="1" applyAlignment="1" applyProtection="1">
      <x:protection locked="1" hidden="0"/>
    </x:xf>
    <x:xf numFmtId="4" fontId="8" fillId="4" borderId="58" applyNumberFormat="1" applyFill="0" applyBorder="1" applyAlignment="1" applyProtection="1">
      <x:protection locked="1" hidden="0"/>
    </x:xf>
    <x:xf numFmtId="0" fontId="8" fillId="4" borderId="58" applyNumberFormat="1" applyFill="0" applyBorder="1" applyAlignment="1" applyProtection="1">
      <x:protection locked="1" hidden="0"/>
    </x:xf>
    <x:xf numFmtId="4" fontId="8" fillId="4" borderId="60" applyNumberFormat="1" applyFill="0" applyBorder="1" applyAlignment="1" applyProtection="1">
      <x:protection locked="1" hidden="0"/>
    </x:xf>
    <x:xf numFmtId="0" fontId="8" fillId="4" borderId="17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69" applyNumberFormat="1" applyFill="0" applyBorder="1" applyAlignment="1" applyProtection="1">
      <x:protection locked="1" hidden="0"/>
    </x:xf>
    <x:xf numFmtId="0" fontId="8" fillId="4" borderId="63" applyNumberFormat="1" applyFill="0" applyBorder="1" applyAlignment="1" applyProtection="1">
      <x:protection locked="1" hidden="0"/>
    </x:xf>
    <x:xf numFmtId="0" fontId="8" fillId="4" borderId="6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4" borderId="16" applyNumberFormat="1" applyFill="0" applyBorder="1" applyAlignment="1" applyProtection="1">
      <x:protection locked="1" hidden="0"/>
    </x:xf>
    <x:xf numFmtId="169" fontId="0" fillId="7" borderId="37" applyNumberFormat="1" applyFill="0" applyBorder="1" applyAlignment="1" applyProtection="1">
      <x:protection locked="0" hidden="0"/>
    </x:xf>
    <x:xf numFmtId="164" fontId="8" fillId="4" borderId="57" applyNumberFormat="1" applyFill="0" applyBorder="1" applyAlignment="1" applyProtection="1">
      <x:protection locked="1" hidden="0"/>
    </x:xf>
    <x:xf numFmtId="4" fontId="8" fillId="4" borderId="59" applyNumberFormat="1" applyFill="0" applyBorder="1" applyAlignment="1" applyProtection="1">
      <x:protection locked="1" hidden="0"/>
    </x:xf>
    <x:xf numFmtId="0" fontId="8" fillId="4" borderId="59" applyNumberFormat="1" applyFill="0" applyBorder="1" applyAlignment="1" applyProtection="1">
      <x:protection locked="1" hidden="0"/>
    </x:xf>
    <x:xf numFmtId="4" fontId="8" fillId="4" borderId="61" applyNumberFormat="1" applyFill="0" applyBorder="1" applyAlignment="1" applyProtection="1">
      <x:protection locked="1" hidden="0"/>
    </x:xf>
    <x:xf numFmtId="0" fontId="8" fillId="4" borderId="35" applyNumberFormat="1" applyFill="0" applyBorder="1" applyAlignment="1" applyProtection="1">
      <x:protection locked="1" hidden="0"/>
    </x:xf>
    <x:xf numFmtId="0" fontId="8" fillId="4" borderId="33" applyNumberFormat="1" applyFill="0" applyBorder="1" applyAlignment="1" applyProtection="1">
      <x:protection locked="1" hidden="0"/>
    </x:xf>
    <x:xf numFmtId="0" fontId="8" fillId="4" borderId="70" applyNumberFormat="1" applyFill="0" applyBorder="1" applyAlignment="1" applyProtection="1">
      <x:protection locked="1" hidden="0"/>
    </x:xf>
    <x:xf numFmtId="0" fontId="8" fillId="4" borderId="64" applyNumberFormat="1" applyFill="0" applyBorder="1" applyAlignment="1" applyProtection="1">
      <x:protection locked="1" hidden="0"/>
    </x:xf>
    <x:xf numFmtId="0" fontId="8" fillId="4" borderId="67" applyNumberFormat="1" applyFill="0" applyBorder="1" applyAlignment="1" applyProtection="1">
      <x:protection locked="1" hidden="0"/>
    </x:xf>
    <x:xf numFmtId="0" fontId="8" fillId="4" borderId="41" applyNumberFormat="1" applyFill="0" applyBorder="1" applyAlignment="1" applyProtection="1">
      <x:protection locked="1" hidden="0"/>
    </x:xf>
    <x:xf numFmtId="4" fontId="12" fillId="2" borderId="21" applyNumberFormat="1" applyFill="0" applyBorder="1" applyAlignment="1" applyProtection="1">
      <x:protection locked="1" hidden="0"/>
    </x:xf>
    <x:xf numFmtId="170" fontId="12" fillId="2" borderId="2" applyNumberFormat="1" applyFill="0" applyBorder="1" applyAlignment="1" applyProtection="1">
      <x:protection locked="1" hidden="0"/>
    </x:xf>
    <x:xf numFmtId="4" fontId="5" fillId="2" borderId="2" applyNumberFormat="1" applyFill="0" applyBorder="1" applyAlignment="1" applyProtection="1">
      <x:protection locked="1" hidden="0"/>
    </x:xf>
    <x:xf numFmtId="4" fontId="0" fillId="3" borderId="42" applyNumberFormat="1" applyFill="0" applyBorder="1" applyAlignment="1" applyProtection="1">
      <x:protection locked="0" hidden="0"/>
    </x:xf>
    <x:xf numFmtId="0" fontId="12" fillId="2" borderId="21" applyNumberFormat="1" applyFill="0" applyBorder="1" applyAlignment="1" applyProtection="1">
      <x:protection locked="1" hidden="0"/>
    </x:xf>
    <x:xf numFmtId="0" fontId="18" fillId="2" borderId="2" applyNumberFormat="1" applyFill="0" applyBorder="1" applyAlignment="1" applyProtection="1">
      <x:protection locked="1" hidden="0"/>
    </x:xf>
    <x:xf numFmtId="14" fontId="12" fillId="2" borderId="2" applyNumberFormat="1" applyFill="0" applyBorder="1" applyAlignment="1" applyProtection="1">
      <x:protection locked="1" hidden="0"/>
    </x:xf>
    <x:xf numFmtId="171" fontId="12" fillId="2" borderId="2" applyNumberFormat="1" applyFill="0" applyBorder="1" applyAlignment="1" applyProtection="1">
      <x:protection locked="1" hidden="0"/>
    </x:xf>
    <x:xf numFmtId="171" fontId="12" fillId="2" borderId="44" applyNumberFormat="1" applyFill="0" applyBorder="1" applyAlignment="1" applyProtection="1">
      <x:protection locked="1" hidden="0"/>
    </x:xf>
    <x:xf numFmtId="171" fontId="12" fillId="2" borderId="45" applyNumberFormat="1" applyFill="0" applyBorder="1" applyAlignment="1" applyProtection="1">
      <x:protection locked="1" hidden="0"/>
    </x:xf>
    <x:xf numFmtId="164" fontId="0" fillId="3" borderId="10" applyNumberFormat="1" applyFill="0" applyBorder="1" applyAlignment="1" applyProtection="1">
      <x:protection locked="0" hidden="0"/>
    </x:xf>
    <x:xf numFmtId="170" fontId="0" fillId="3" borderId="11" applyNumberFormat="1" applyFill="0" applyBorder="1" applyAlignment="1" applyProtection="1">
      <x:protection locked="0" hidden="0"/>
    </x:xf>
    <x:xf numFmtId="0" fontId="0" fillId="3" borderId="11" applyNumberFormat="1" applyFill="0" applyBorder="1" applyAlignment="1" applyProtection="1">
      <x:protection locked="0" hidden="0"/>
    </x:xf>
    <x:xf numFmtId="4" fontId="0" fillId="3" borderId="11" applyNumberFormat="1" applyFill="0" applyBorder="1" applyAlignment="1" applyProtection="1">
      <x:protection locked="0" hidden="0"/>
    </x:xf>
    <x:xf numFmtId="4" fontId="0" fillId="3" borderId="43" applyNumberFormat="1" applyFill="0" applyBorder="1" applyAlignment="1" applyProtection="1">
      <x:protection locked="0" hidden="0"/>
    </x:xf>
    <x:xf numFmtId="0" fontId="0" fillId="4" borderId="5" applyNumberFormat="1" applyFill="0" applyBorder="1" applyAlignment="1" applyProtection="1">
      <x:protection locked="1" hidden="0"/>
    </x:xf>
    <x:xf numFmtId="0" fontId="1" fillId="4" borderId="7" applyNumberFormat="1" applyFill="0" applyBorder="1" applyAlignment="1" applyProtection="1">
      <x:protection locked="1" hidden="0"/>
    </x:xf>
    <x:xf numFmtId="14" fontId="0" fillId="4" borderId="7" applyNumberFormat="1" applyFill="0" applyBorder="1" applyAlignment="1" applyProtection="1">
      <x:protection locked="1" hidden="0"/>
    </x:xf>
    <x:xf numFmtId="171" fontId="0" fillId="4" borderId="7" applyNumberFormat="1" applyFill="0" applyBorder="1" applyAlignment="1" applyProtection="1">
      <x:protection locked="1" hidden="0"/>
    </x:xf>
    <x:xf numFmtId="171" fontId="0" fillId="4" borderId="46" applyNumberFormat="1" applyFill="0" applyBorder="1" applyAlignment="1" applyProtection="1">
      <x:protection locked="1" hidden="0"/>
    </x:xf>
    <x:xf numFmtId="171" fontId="0" fillId="4" borderId="47" applyNumberFormat="1" applyFill="0" applyBorder="1" applyAlignment="1" applyProtection="1">
      <x:protection locked="1" hidden="0"/>
    </x:xf>
    <x:xf numFmtId="171" fontId="0" fillId="4" borderId="48" applyNumberFormat="1" applyFill="0" applyBorder="1" applyAlignment="1" applyProtection="1">
      <x:protection locked="1" hidden="0"/>
    </x:xf>
    <x:xf numFmtId="166" fontId="10" fillId="0" borderId="17" applyNumberFormat="1" applyFill="1" applyBorder="1" applyAlignment="1" applyProtection="1">
      <x:protection locked="1" hidden="0"/>
    </x:xf>
    <x:xf numFmtId="4" fontId="10" fillId="0" borderId="16" applyNumberFormat="1" applyFill="1" applyBorder="1" applyAlignment="1" applyProtection="1">
      <x:protection locked="1" hidden="0"/>
    </x:xf>
    <x:xf numFmtId="164" fontId="0" fillId="3" borderId="3" applyNumberFormat="1" applyFill="0" applyBorder="1" applyAlignment="1" applyProtection="1">
      <x:protection locked="0" hidden="0"/>
    </x:xf>
    <x:xf numFmtId="170" fontId="0" fillId="3" borderId="12" applyNumberFormat="1" applyFill="0" applyBorder="1" applyAlignment="1" applyProtection="1">
      <x:protection locked="0" hidden="0"/>
    </x:xf>
    <x:xf numFmtId="0" fontId="0" fillId="3" borderId="12" applyNumberFormat="1" applyFill="0" applyBorder="1" applyAlignment="1" applyProtection="1">
      <x:protection locked="0" hidden="0"/>
    </x:xf>
    <x:xf numFmtId="4" fontId="0" fillId="3" borderId="12" applyNumberFormat="1" applyFill="0" applyBorder="1" applyAlignment="1" applyProtection="1">
      <x:protection locked="0" hidden="0"/>
    </x:xf>
    <x:xf numFmtId="4" fontId="0" fillId="3" borderId="13" applyNumberFormat="1" applyFill="0" applyBorder="1" applyAlignment="1" applyProtection="1">
      <x:protection locked="0" hidden="0"/>
    </x:xf>
    <x:xf numFmtId="0" fontId="1" fillId="4" borderId="8" applyNumberFormat="1" applyFill="0" applyBorder="1" applyAlignment="1" applyProtection="1">
      <x:protection locked="1" hidden="0"/>
    </x:xf>
    <x:xf numFmtId="14" fontId="0" fillId="4" borderId="8" applyNumberFormat="1" applyFill="0" applyBorder="1" applyAlignment="1" applyProtection="1">
      <x:protection locked="1" hidden="0"/>
    </x:xf>
    <x:xf numFmtId="171" fontId="0" fillId="4" borderId="8" applyNumberFormat="1" applyFill="0" applyBorder="1" applyAlignment="1" applyProtection="1">
      <x:protection locked="1" hidden="0"/>
    </x:xf>
    <x:xf numFmtId="171" fontId="0" fillId="4" borderId="49" applyNumberFormat="1" applyFill="0" applyBorder="1" applyAlignment="1" applyProtection="1">
      <x:protection locked="1" hidden="0"/>
    </x:xf>
    <x:xf numFmtId="164" fontId="0" fillId="3" borderId="4" applyNumberFormat="1" applyFill="0" applyBorder="1" applyAlignment="1" applyProtection="1">
      <x:protection locked="0" hidden="0"/>
    </x:xf>
    <x:xf numFmtId="170" fontId="0" fillId="3" borderId="14" applyNumberFormat="1" applyFill="0" applyBorder="1" applyAlignment="1" applyProtection="1">
      <x:protection locked="0" hidden="0"/>
    </x:xf>
    <x:xf numFmtId="0" fontId="0" fillId="3" borderId="14" applyNumberFormat="1" applyFill="0" applyBorder="1" applyAlignment="1" applyProtection="1">
      <x:protection locked="0" hidden="0"/>
    </x:xf>
    <x:xf numFmtId="4" fontId="0" fillId="3" borderId="14" applyNumberFormat="1" applyFill="0" applyBorder="1" applyAlignment="1" applyProtection="1">
      <x:protection locked="0" hidden="0"/>
    </x:xf>
    <x:xf numFmtId="4" fontId="0" fillId="3" borderId="15" applyNumberFormat="1" applyFill="0" applyBorder="1" applyAlignment="1" applyProtection="1">
      <x:protection locked="0" hidden="0"/>
    </x:xf>
    <x:xf numFmtId="0" fontId="0" fillId="4" borderId="6" applyNumberFormat="1" applyFill="0" applyBorder="1" applyAlignment="1" applyProtection="1">
      <x:protection locked="1" hidden="0"/>
    </x:xf>
    <x:xf numFmtId="0" fontId="1" fillId="4" borderId="9" applyNumberFormat="1" applyFill="0" applyBorder="1" applyAlignment="1" applyProtection="1">
      <x:protection locked="1" hidden="0"/>
    </x:xf>
    <x:xf numFmtId="14" fontId="0" fillId="4" borderId="9" applyNumberFormat="1" applyFill="0" applyBorder="1" applyAlignment="1" applyProtection="1">
      <x:protection locked="1" hidden="0"/>
    </x:xf>
    <x:xf numFmtId="171" fontId="0" fillId="4" borderId="9" applyNumberFormat="1" applyFill="0" applyBorder="1" applyAlignment="1" applyProtection="1">
      <x:protection locked="1" hidden="0"/>
    </x:xf>
    <x:xf numFmtId="171" fontId="0" fillId="4" borderId="50" applyNumberFormat="1" applyFill="0" applyBorder="1" applyAlignment="1" applyProtection="1">
      <x:protection locked="1" hidden="0"/>
    </x:xf>
    <x:xf numFmtId="171" fontId="0" fillId="4" borderId="51" applyNumberFormat="1" applyFill="0" applyBorder="1" applyAlignment="1" applyProtection="1">
      <x:protection locked="1" hidden="0"/>
    </x:xf>
    <x:xf numFmtId="171" fontId="0" fillId="4" borderId="52" applyNumberFormat="1" applyFill="0" applyBorder="1" applyAlignment="1" applyProtection="1">
      <x:protection locked="1" hidden="0"/>
    </x:xf>
    <x:xf numFmtId="170" fontId="6" fillId="4" borderId="0" applyNumberFormat="1" applyFill="0" applyBorder="0" applyAlignment="1" applyProtection="1">
      <x:protection locked="1" hidden="1"/>
    </x:xf>
    <x:xf numFmtId="0" fontId="13" fillId="6" borderId="27" applyNumberFormat="1" applyFill="0" applyBorder="1" applyAlignment="1" applyProtection="1">
      <x:protection locked="1" hidden="0"/>
    </x:xf>
    <x:xf numFmtId="0" fontId="14" fillId="6" borderId="28" applyNumberFormat="1" applyFill="0" applyBorder="1" applyAlignment="1" applyProtection="1">
      <x:protection locked="1" hidden="0"/>
    </x:xf>
    <x:xf numFmtId="0" fontId="0" fillId="6" borderId="28" applyNumberFormat="1" applyFill="0" applyBorder="1" applyAlignment="1" applyProtection="1">
      <x:protection locked="1" hidden="0"/>
    </x:xf>
    <x:xf numFmtId="0" fontId="0" fillId="6" borderId="29" applyNumberFormat="1" applyFill="0" applyBorder="1" applyAlignment="1" applyProtection="1">
      <x:protection locked="1" hidden="0"/>
    </x:xf>
    <x:xf numFmtId="0" fontId="0" fillId="5" borderId="27" applyNumberFormat="1" applyFill="0" applyBorder="1" applyAlignment="1" applyProtection="1">
      <x:protection locked="1" hidden="0"/>
    </x:xf>
    <x:xf numFmtId="0" fontId="0" fillId="5" borderId="28" applyNumberFormat="1" applyFill="0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0" hidden="0"/>
    </x:xf>
    <x:xf numFmtId="0" fontId="0" fillId="5" borderId="29" applyNumberFormat="1" applyFill="0" applyBorder="1" applyAlignment="1" applyProtection="1">
      <x:protection locked="1" hidden="0"/>
    </x:xf>
    <x:xf numFmtId="0" fontId="14" fillId="6" borderId="29" applyNumberFormat="1" applyFill="0" applyBorder="1" applyAlignment="1" applyProtection="1">
      <x:protection locked="1" hidden="0"/>
    </x:xf>
    <x:xf numFmtId="0" fontId="0" fillId="5" borderId="22" applyNumberFormat="1" applyFill="0" applyBorder="1" applyAlignment="1" applyProtection="1">
      <x:protection locked="1" hidden="0"/>
    </x:xf>
    <x:xf numFmtId="0" fontId="0" fillId="5" borderId="23" applyNumberFormat="1" applyFill="0" applyBorder="1" applyAlignment="1" applyProtection="1">
      <x:protection locked="1" hidden="0"/>
    </x:xf>
    <x:xf numFmtId="0" fontId="0" fillId="5" borderId="24" applyNumberFormat="1" applyFill="0" applyBorder="1" applyAlignment="1" applyProtection="1">
      <x:protection locked="1" hidden="0"/>
    </x:xf>
    <x:xf numFmtId="0" fontId="0" fillId="5" borderId="25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5" borderId="26" applyNumberFormat="1" applyFill="0" applyBorder="1" applyAlignment="1" applyProtection="1">
      <x:protection locked="1" hidden="0"/>
    </x:xf>
    <x:xf numFmtId="0" fontId="0" fillId="5" borderId="32" applyNumberFormat="1" applyFill="0" applyBorder="1" applyAlignment="1" applyProtection="1">
      <x:protection locked="1" hidden="0"/>
    </x:xf>
    <x:xf numFmtId="0" fontId="0" fillId="5" borderId="30" applyNumberFormat="1" applyFill="0" applyBorder="1" applyAlignment="1" applyProtection="1">
      <x:protection locked="1" hidden="0"/>
    </x:xf>
    <x:xf numFmtId="0" fontId="0" fillId="5" borderId="31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0" hidden="0"/>
    </x:xf>
    <x:xf numFmtId="0" fontId="10" fillId="5" borderId="32" applyNumberFormat="1" applyFill="0" applyBorder="1" applyAlignment="1" applyProtection="1">
      <x:protection locked="0" hidden="0"/>
    </x:xf>
    <x:xf numFmtId="0" fontId="0" fillId="7" borderId="27" applyNumberFormat="1" applyFill="0" applyBorder="1" applyAlignment="1" applyProtection="1">
      <x:protection locked="0" hidden="0"/>
    </x:xf>
    <x:xf numFmtId="0" fontId="10" fillId="5" borderId="30" applyNumberFormat="1" applyFill="0" applyBorder="1" applyAlignment="1" applyProtection="1">
      <x:protection locked="0" hidden="0"/>
    </x:xf>
    <x:xf numFmtId="0" fontId="10" fillId="5" borderId="30" applyNumberFormat="1" applyFill="0" applyBorder="1" applyAlignment="1" applyProtection="1">
      <x:protection locked="1" hidden="0"/>
    </x:xf>
    <x:xf numFmtId="0" fontId="13" fillId="5" borderId="25" applyNumberFormat="1" applyFill="0" applyBorder="1" applyAlignment="1" applyProtection="1">
      <x:protection locked="1" hidden="0"/>
    </x:xf>
    <x:xf numFmtId="0" fontId="14" fillId="5" borderId="0" applyNumberFormat="1" applyFill="0" applyBorder="0" applyAlignment="1" applyProtection="1">
      <x:protection locked="1" hidden="0"/>
    </x:xf>
    <x:xf numFmtId="14" fontId="0" fillId="5" borderId="0" applyNumberFormat="1" applyFill="0" applyBorder="0" applyAlignment="1" applyProtection="1">
      <x:protection locked="1" hidden="0"/>
    </x:xf>
    <x:xf numFmtId="0" fontId="17" fillId="5" borderId="0" applyNumberFormat="1" applyFill="0" applyBorder="0" applyAlignment="1" applyProtection="1">
      <x:protection locked="1" hidden="0"/>
    </x:xf>
    <x:xf numFmtId="14" fontId="0" fillId="7" borderId="1" applyNumberFormat="1" applyFill="0" applyBorder="1" applyAlignment="1" applyProtection="1">
      <x:protection locked="1" hidden="0"/>
    </x:xf>
    <x:xf numFmtId="0" fontId="0" fillId="5" borderId="26" applyNumberFormat="1" applyFill="0" applyBorder="1" applyAlignment="1" applyProtection="1">
      <x:protection locked="0" hidden="0"/>
    </x:xf>
    <x:xf numFmtId="0" fontId="6" fillId="5" borderId="25" applyNumberFormat="1" applyFill="0" applyBorder="1" applyAlignment="1" applyProtection="1">
      <x:protection locked="1" hidden="0"/>
    </x:xf>
    <x:xf numFmtId="0" fontId="15" fillId="5" borderId="0" quotePrefix="1" applyNumberFormat="1" applyFill="0" applyBorder="0" applyAlignment="1" applyProtection="1">
      <x:protection locked="1" hidden="0"/>
    </x:xf>
    <x:xf numFmtId="0" fontId="15" fillId="5" borderId="26" quotePrefix="1" applyNumberFormat="1" applyFill="0" applyBorder="1" applyAlignment="1" applyProtection="1">
      <x:protection locked="1" hidden="0"/>
    </x:xf>
    <x:xf numFmtId="14" fontId="0" fillId="5" borderId="26" applyNumberFormat="1" applyFill="0" applyBorder="1" applyAlignment="1" applyProtection="1">
      <x:protection locked="1" hidden="0"/>
    </x:xf>
    <x:xf numFmtId="170" fontId="0" fillId="5" borderId="0" applyNumberFormat="1" applyFill="0" applyBorder="0" applyAlignment="1" applyProtection="1">
      <x:protection locked="1" hidden="0"/>
    </x:xf>
    <x:xf numFmtId="170" fontId="0" fillId="7" borderId="1" applyNumberFormat="1" applyFill="0" applyBorder="1" applyAlignment="1" applyProtection="1">
      <x:protection locked="0" hidden="0"/>
    </x:xf>
    <x:xf numFmtId="170" fontId="0" fillId="5" borderId="26" applyNumberFormat="1" applyFill="0" applyBorder="1" applyAlignment="1" applyProtection="1">
      <x:protection locked="1" hidden="0"/>
    </x:xf>
    <x:xf numFmtId="14" fontId="10" fillId="5" borderId="30" applyNumberFormat="1" applyFill="0" applyBorder="1" applyAlignment="1" applyProtection="1">
      <x:protection locked="1" hidden="0"/>
    </x:xf>
    <x:xf numFmtId="0" fontId="10" fillId="5" borderId="31" applyNumberFormat="1" applyFill="0" applyBorder="1" applyAlignment="1" applyProtection="1">
      <x:protection locked="1" hidden="0"/>
    </x:xf>
  </x:cellStyleXfs>
  <x:cellXfs count="399">
    <x:xf numFmtId="0" fontId="0" fillId="0" borderId="0" xfId="0"/>
    <x:xf numFmtId="4" fontId="5" fillId="2" borderId="2" xfId="0" applyNumberFormat="1" applyFont="1" applyFill="1" applyBorder="1" applyAlignment="1">
      <x:alignment horizontal="center" wrapText="1"/>
    </x:xf>
    <x:xf numFmtId="4" fontId="8" fillId="4" borderId="61" xfId="0" applyNumberFormat="1" applyFont="1" applyFill="1" applyBorder="1" applyAlignment="1">
      <x:alignment horizontal="center" wrapText="1"/>
    </x:xf>
    <x:xf numFmtId="4" fontId="8" fillId="4" borderId="60" xfId="0" applyNumberFormat="1" applyFont="1" applyFill="1" applyBorder="1" applyAlignment="1">
      <x:alignment horizontal="center" wrapText="1"/>
    </x:xf>
    <x:xf numFmtId="0" fontId="8" fillId="4" borderId="59" xfId="0" applyFont="1" applyFill="1" applyBorder="1" applyAlignment="1">
      <x:alignment horizontal="center" wrapText="1"/>
    </x:xf>
    <x:xf numFmtId="0" fontId="8" fillId="4" borderId="58" xfId="0" applyFont="1" applyFill="1" applyBorder="1" applyAlignment="1">
      <x:alignment horizontal="center" wrapText="1"/>
    </x:xf>
    <x:xf numFmtId="4" fontId="8" fillId="4" borderId="59" xfId="0" applyNumberFormat="1" applyFont="1" applyFill="1" applyBorder="1" applyAlignment="1">
      <x:alignment horizontal="center" wrapText="1"/>
    </x:xf>
    <x:xf numFmtId="4" fontId="8" fillId="4" borderId="58" xfId="0" applyNumberFormat="1" applyFont="1" applyFill="1" applyBorder="1" applyAlignment="1">
      <x:alignment horizontal="center" wrapText="1"/>
    </x:xf>
    <x:xf numFmtId="164" fontId="8" fillId="4" borderId="57" xfId="0" applyNumberFormat="1" applyFont="1" applyFill="1" applyBorder="1" applyAlignment="1">
      <x:alignment horizontal="center" wrapText="1"/>
    </x:xf>
    <x:xf numFmtId="164" fontId="8" fillId="4" borderId="56" xfId="0" applyNumberFormat="1" applyFont="1" applyFill="1" applyBorder="1" applyAlignment="1">
      <x:alignment horizontal="center" wrapText="1"/>
    </x:xf>
    <x:xf numFmtId="0" fontId="8" fillId="4" borderId="41" xfId="0" applyFont="1" applyFill="1" applyBorder="1" applyAlignment="1">
      <x:alignment horizontal="right"/>
    </x:xf>
    <x:xf numFmtId="0" fontId="8" fillId="4" borderId="16" xfId="0" applyFont="1" applyFill="1" applyBorder="1" applyAlignment="1">
      <x:alignment horizontal="right"/>
    </x:xf>
    <x:xf numFmtId="0" fontId="8" fillId="4" borderId="40" xfId="0" applyFont="1" applyFill="1" applyBorder="1" applyAlignment="1">
      <x:alignment horizontal="right" wrapText="1"/>
    </x:xf>
    <x:xf numFmtId="0" fontId="8" fillId="4" borderId="35" xfId="0" applyFont="1" applyFill="1" applyBorder="1" applyAlignment="1">
      <x:alignment horizontal="right"/>
    </x:xf>
    <x:xf numFmtId="0" fontId="8" fillId="4" borderId="17" xfId="0" applyFont="1" applyFill="1" applyBorder="1" applyAlignment="1">
      <x:alignment horizontal="right"/>
    </x:xf>
    <x:xf numFmtId="0" fontId="8" fillId="4" borderId="34" xfId="0" applyFont="1" applyFill="1" applyBorder="1" applyAlignment="1">
      <x:alignment horizontal="right" wrapText="1"/>
    </x:xf>
    <x:xf numFmtId="0" fontId="8" fillId="4" borderId="67" xfId="0" applyFont="1" applyFill="1" applyBorder="1" applyAlignment="1">
      <x:alignment horizontal="right" wrapText="1"/>
    </x:xf>
    <x:xf numFmtId="0" fontId="8" fillId="4" borderId="66" xfId="0" applyFont="1" applyFill="1" applyBorder="1" applyAlignment="1">
      <x:alignment horizontal="right" wrapText="1"/>
    </x:xf>
    <x:xf numFmtId="0" fontId="8" fillId="4" borderId="65" xfId="0" applyFont="1" applyFill="1" applyBorder="1" applyAlignment="1">
      <x:alignment horizontal="right" wrapText="1"/>
    </x:xf>
    <x:xf numFmtId="0" fontId="8" fillId="4" borderId="33" xfId="0" applyFont="1" applyFill="1" applyBorder="1" applyAlignment="1">
      <x:alignment horizontal="right" wrapText="1"/>
    </x:xf>
    <x:xf numFmtId="0" fontId="8" fillId="4" borderId="0" xfId="0" applyFont="1" applyFill="1" applyAlignment="1">
      <x:alignment horizontal="right" wrapText="1"/>
    </x:xf>
    <x:xf numFmtId="0" fontId="8" fillId="4" borderId="64" xfId="0" applyFont="1" applyFill="1" applyBorder="1" applyAlignment="1">
      <x:alignment horizontal="right" wrapText="1"/>
    </x:xf>
    <x:xf numFmtId="0" fontId="8" fillId="4" borderId="63" xfId="0" applyFont="1" applyFill="1" applyBorder="1" applyAlignment="1">
      <x:alignment horizontal="right" wrapText="1"/>
    </x:xf>
    <x:xf numFmtId="0" fontId="8" fillId="4" borderId="62" xfId="0" applyFont="1" applyFill="1" applyBorder="1" applyAlignment="1">
      <x:alignment horizontal="right" wrapText="1"/>
    </x:xf>
    <x:xf numFmtId="0" fontId="8" fillId="4" borderId="70" xfId="0" applyFont="1" applyFill="1" applyBorder="1" applyAlignment="1">
      <x:alignment horizontal="right" wrapText="1"/>
    </x:xf>
    <x:xf numFmtId="0" fontId="8" fillId="4" borderId="69" xfId="0" applyFont="1" applyFill="1" applyBorder="1" applyAlignment="1">
      <x:alignment horizontal="right" wrapText="1"/>
    </x:xf>
    <x:xf numFmtId="0" fontId="8" fillId="4" borderId="68" xfId="0" applyFont="1" applyFill="1" applyBorder="1" applyAlignment="1">
      <x:alignment horizontal="right" wrapText="1"/>
    </x:xf>
    <x:xf numFmtId="0" fontId="8" fillId="4" borderId="33" xfId="0" applyFont="1" applyFill="1" applyBorder="1" applyAlignment="1">
      <x:alignment horizontal="right"/>
    </x:xf>
    <x:xf numFmtId="0" fontId="8" fillId="4" borderId="0" xfId="0" applyFont="1" applyFill="1" applyAlignment="1">
      <x:alignment horizontal="right"/>
    </x:xf>
    <x:xf numFmtId="0" fontId="8" fillId="4" borderId="39" xfId="0" applyFont="1" applyFill="1" applyBorder="1" applyAlignment="1">
      <x:alignment horizontal="right" wrapText="1"/>
    </x:xf>
    <x:xf numFmtId="0" fontId="8" fillId="4" borderId="33" xfId="0" applyFont="1" applyFill="1" applyBorder="1" applyAlignment="1">
      <x:alignment horizontal="center" wrapText="1"/>
    </x:xf>
    <x:xf numFmtId="0" fontId="8" fillId="4" borderId="0" xfId="0" applyFont="1" applyFill="1" applyAlignment="1">
      <x:alignment horizontal="center" wrapText="1"/>
    </x:xf>
    <x:xf numFmtId="0" fontId="8" fillId="4" borderId="39" xfId="0" applyFont="1" applyFill="1" applyBorder="1" applyAlignment="1">
      <x:alignment horizontal="center" wrapText="1"/>
    </x:xf>
    <x:xf numFmtId="165" fontId="11" fillId="2" borderId="45" xfId="0" applyNumberFormat="1" applyFont="1" applyFill="1" applyBorder="1" applyAlignment="1">
      <x:alignment horizontal="center" wrapText="1"/>
    </x:xf>
    <x:xf numFmtId="165" fontId="11" fillId="2" borderId="21" xfId="0" applyNumberFormat="1" applyFont="1" applyFill="1" applyBorder="1" applyAlignment="1">
      <x:alignment horizontal="center" wrapText="1"/>
    </x:xf>
    <x:xf numFmtId="0" fontId="5" fillId="2" borderId="45" xfId="0" applyFont="1" applyFill="1" applyBorder="1" applyAlignment="1">
      <x:alignment horizontal="left"/>
    </x:xf>
    <x:xf numFmtId="0" fontId="5" fillId="2" borderId="2" xfId="0" applyFont="1" applyFill="1" applyBorder="1" applyAlignment="1">
      <x:alignment horizontal="left"/>
    </x:xf>
    <x:xf numFmtId="0" fontId="5" fillId="2" borderId="21" xfId="0" applyFont="1" applyFill="1" applyBorder="1" applyAlignment="1">
      <x:alignment horizontal="left"/>
    </x:xf>
    <x:xf numFmtId="164" fontId="5" fillId="2" borderId="45" xfId="0" applyNumberFormat="1" applyFont="1" applyFill="1" applyBorder="1" applyAlignment="1">
      <x:alignment horizontal="left"/>
    </x:xf>
    <x:xf numFmtId="164" fontId="5" fillId="2" borderId="2" xfId="0" applyNumberFormat="1" applyFont="1" applyFill="1" applyBorder="1" applyAlignment="1">
      <x:alignment horizontal="left"/>
    </x:xf>
    <x:xf numFmtId="164" fontId="5" fillId="2" borderId="21" xfId="0" applyNumberFormat="1" applyFont="1" applyFill="1" applyBorder="1" applyAlignment="1">
      <x:alignment horizontal="left"/>
    </x:xf>
    <x:xf numFmtId="0" fontId="6" fillId="4" borderId="33" xfId="0" applyFont="1" applyFill="1" applyBorder="1" applyAlignment="1" applyProtection="1">
      <x:alignment horizontal="right"/>
      <x:protection hidden="1"/>
    </x:xf>
    <x:xf numFmtId="0" fontId="6" fillId="4" borderId="35" xfId="0" applyFont="1" applyFill="1" applyBorder="1" applyAlignment="1" applyProtection="1">
      <x:alignment horizontal="right"/>
      <x:protection hidden="1"/>
    </x:xf>
    <x:xf numFmtId="0" fontId="0" fillId="4" borderId="0" xfId="0" applyFill="1" applyAlignment="1" applyProtection="1">
      <x:alignment horizontal="right" wrapText="1"/>
      <x:protection hidden="1"/>
    </x:xf>
    <x:xf numFmtId="0" fontId="0" fillId="4" borderId="17" xfId="0" applyFill="1" applyBorder="1" applyAlignment="1" applyProtection="1">
      <x:alignment horizontal="right" wrapText="1"/>
      <x:protection hidden="1"/>
    </x:xf>
    <x:xf numFmtId="0" fontId="7" fillId="0" borderId="0" xfId="0" applyFont="1"/>
    <x:xf numFmtId="164" fontId="0" fillId="3" borderId="3" xfId="0" applyNumberFormat="1" applyFill="1" applyBorder="1" applyProtection="1">
      <x:protection locked="0"/>
    </x:xf>
    <x:xf numFmtId="164" fontId="0" fillId="3" borderId="4" xfId="0" applyNumberFormat="1" applyFill="1" applyBorder="1" applyProtection="1">
      <x:protection locked="0"/>
    </x:xf>
    <x:xf numFmtId="0" fontId="0" fillId="4" borderId="5" xfId="0" applyFill="1" applyBorder="1" applyAlignment="1">
      <x:alignment horizontal="center"/>
    </x:xf>
    <x:xf numFmtId="0" fontId="0" fillId="4" borderId="6" xfId="0" applyFill="1" applyBorder="1" applyAlignment="1">
      <x:alignment horizontal="center"/>
    </x:xf>
    <x:xf numFmtId="0" fontId="0" fillId="0" borderId="0" xfId="0" applyProtection="1">
      <x:protection locked="0"/>
    </x:xf>
    <x:xf numFmtId="164" fontId="0" fillId="0" borderId="0" xfId="0" applyNumberFormat="1" applyProtection="1">
      <x:protection locked="0"/>
    </x:xf>
    <x:xf numFmtId="4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4" fontId="1" fillId="0" borderId="0" xfId="0" applyNumberFormat="1" applyFont="1" applyProtection="1">
      <x:protection locked="0"/>
    </x:xf>
    <x:xf numFmtId="0" fontId="3" fillId="0" borderId="0" xfId="3" applyFill="1" applyAlignment="1" applyProtection="1">
      <x:alignment horizontal="center"/>
      <x:protection locked="0"/>
    </x:xf>
    <x:xf numFmtId="0" fontId="2" fillId="0" borderId="0" xfId="3" applyFont="1" applyFill="1" applyAlignment="1" applyProtection="1">
      <x:alignment horizontal="center"/>
      <x:protection locked="0"/>
    </x:xf>
    <x:xf numFmtId="0" fontId="4" fillId="0" borderId="0" xfId="0" applyFont="1" applyProtection="1">
      <x:protection locked="0"/>
    </x:xf>
    <x:xf numFmtId="165" fontId="9" fillId="0" borderId="0" xfId="0" applyNumberFormat="1" applyFont="1" applyProtection="1">
      <x:protection locked="0"/>
    </x:xf>
    <x:xf numFmtId="4" fontId="9" fillId="0" borderId="0" xfId="0" applyNumberFormat="1" applyFont="1" applyProtection="1">
      <x:protection locked="0"/>
    </x:xf>
    <x:xf numFmtId="0" fontId="7" fillId="0" borderId="0" xfId="0" applyFont="1" applyProtection="1">
      <x:protection locked="0"/>
    </x:xf>
    <x:xf numFmtId="164" fontId="0" fillId="3" borderId="10" xfId="0" applyNumberFormat="1" applyFill="1" applyBorder="1" applyProtection="1">
      <x:protection locked="0"/>
    </x:xf>
    <x:xf numFmtId="4" fontId="0" fillId="3" borderId="11" xfId="0" applyNumberFormat="1" applyFill="1" applyBorder="1" applyProtection="1">
      <x:protection locked="0"/>
    </x:xf>
    <x:xf numFmtId="0" fontId="0" fillId="3" borderId="11" xfId="0" applyFill="1" applyBorder="1" applyProtection="1">
      <x:protection locked="0"/>
    </x:xf>
    <x:xf numFmtId="4" fontId="0" fillId="3" borderId="12" xfId="0" applyNumberFormat="1" applyFill="1" applyBorder="1" applyProtection="1">
      <x:protection locked="0"/>
    </x:xf>
    <x:xf numFmtId="0" fontId="0" fillId="3" borderId="12" xfId="0" applyFill="1" applyBorder="1" applyProtection="1">
      <x:protection locked="0"/>
    </x:xf>
    <x:xf numFmtId="4" fontId="0" fillId="3" borderId="13" xfId="0" applyNumberFormat="1" applyFill="1" applyBorder="1" applyProtection="1">
      <x:protection locked="0"/>
    </x:xf>
    <x:xf numFmtId="4" fontId="0" fillId="3" borderId="14" xfId="0" applyNumberFormat="1" applyFill="1" applyBorder="1" applyProtection="1">
      <x:protection locked="0"/>
    </x:xf>
    <x:xf numFmtId="0" fontId="0" fillId="3" borderId="14" xfId="0" applyFill="1" applyBorder="1" applyProtection="1">
      <x:protection locked="0"/>
    </x:xf>
    <x:xf numFmtId="4" fontId="0" fillId="3" borderId="15" xfId="0" applyNumberFormat="1" applyFill="1" applyBorder="1" applyProtection="1">
      <x:protection locked="0"/>
    </x:xf>
    <x:xf numFmtId="4" fontId="10" fillId="0" borderId="16" xfId="0" applyNumberFormat="1" applyFont="1" applyBorder="1"/>
    <x:xf numFmtId="166" fontId="10" fillId="0" borderId="17" xfId="0" applyNumberFormat="1" applyFont="1" applyBorder="1"/>
    <x:xf numFmtId="14" fontId="0" fillId="4" borderId="7" xfId="0" applyNumberFormat="1" applyFill="1" applyBorder="1"/>
    <x:xf numFmtId="14" fontId="0" fillId="4" borderId="8" xfId="0" applyNumberFormat="1" applyFill="1" applyBorder="1"/>
    <x:xf numFmtId="14" fontId="0" fillId="4" borderId="9" xfId="0" applyNumberFormat="1" applyFill="1" applyBorder="1"/>
    <x:xf numFmtId="0" fontId="8" fillId="4" borderId="16" xfId="0" applyFont="1" applyFill="1" applyBorder="1" applyAlignment="1">
      <x:alignment horizontal="right"/>
    </x:xf>
    <x:xf numFmtId="0" fontId="8" fillId="4" borderId="17" xfId="0" applyFont="1" applyFill="1" applyBorder="1" applyAlignment="1">
      <x:alignment horizontal="right"/>
    </x:xf>
    <x:xf numFmtId="0" fontId="12" fillId="2" borderId="21" xfId="0" applyFont="1" applyFill="1" applyBorder="1" applyAlignment="1">
      <x:alignment horizontal="center"/>
    </x:xf>
    <x:xf numFmtId="14" fontId="12" fillId="2" borderId="2" xfId="0" applyNumberFormat="1" applyFont="1" applyFill="1" applyBorder="1" applyAlignment="1">
      <x:alignment horizontal="right"/>
    </x:xf>
    <x:xf numFmtId="0" fontId="0" fillId="0" borderId="0" xfId="0" applyAlignment="1">
      <x:alignment horizontal="center"/>
    </x:xf>
    <x:xf numFmtId="4" fontId="12" fillId="2" borderId="21" xfId="0" applyNumberFormat="1" applyFont="1" applyFill="1" applyBorder="1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 applyProtection="1">
      <x:alignment horizontal="left"/>
      <x:protection locked="0"/>
    </x:xf>
    <x:xf numFmtId="165" fontId="0" fillId="0" borderId="0" xfId="0" applyNumberFormat="1" applyAlignment="1">
      <x:alignment horizontal="center"/>
    </x:xf>
    <x:xf numFmtId="168" fontId="0" fillId="0" borderId="0" xfId="0" applyNumberFormat="1" applyAlignment="1">
      <x:alignment horizontal="center"/>
    </x:xf>
    <x:xf numFmtId="165" fontId="10" fillId="0" borderId="0" xfId="0" applyNumberFormat="1" applyFont="1" applyProtection="1">
      <x:protection locked="0"/>
    </x:xf>
    <x:xf numFmtId="0" fontId="0" fillId="5" borderId="0" xfId="0" applyFill="1"/>
    <x:xf numFmtId="0" fontId="0" fillId="5" borderId="22" xfId="0" applyFill="1" applyBorder="1"/>
    <x:xf numFmtId="0" fontId="0" fillId="5" borderId="23" xfId="0" applyFill="1" applyBorder="1"/>
    <x:xf numFmtId="0" fontId="0" fillId="5" borderId="24" xfId="0" applyFill="1" applyBorder="1"/>
    <x:xf numFmtId="0" fontId="0" fillId="5" borderId="25" xfId="0" applyFill="1" applyBorder="1"/>
    <x:xf numFmtId="0" fontId="0" fillId="5" borderId="26" xfId="0" applyFill="1" applyBorder="1"/>
    <x:xf numFmtId="0" fontId="0" fillId="5" borderId="27" xfId="0" applyFill="1" applyBorder="1"/>
    <x:xf numFmtId="0" fontId="0" fillId="5" borderId="28" xfId="0" applyFill="1" applyBorder="1"/>
    <x:xf numFmtId="0" fontId="0" fillId="5" borderId="29" xfId="0" applyFill="1" applyBorder="1"/>
    <x:xf numFmtId="0" fontId="10" fillId="5" borderId="30" xfId="0" applyFont="1" applyFill="1" applyBorder="1" applyAlignment="1">
      <x:alignment horizontal="center"/>
    </x:xf>
    <x:xf numFmtId="0" fontId="13" fillId="5" borderId="25" xfId="0" applyFont="1" applyFill="1" applyBorder="1"/>
    <x:xf numFmtId="0" fontId="14" fillId="5" borderId="0" xfId="0" applyFont="1" applyFill="1"/>
    <x:xf numFmtId="14" fontId="0" fillId="5" borderId="0" xfId="0" applyNumberFormat="1" applyFill="1" applyAlignment="1">
      <x:alignment horizontal="center"/>
    </x:xf>
    <x:xf numFmtId="0" fontId="0" fillId="5" borderId="0" xfId="0" applyFill="1" applyAlignment="1">
      <x:alignment horizontal="right"/>
    </x:xf>
    <x:xf numFmtId="0" fontId="6" fillId="5" borderId="25" xfId="0" applyFont="1" applyFill="1" applyBorder="1"/>
    <x:xf numFmtId="0" fontId="15" fillId="5" borderId="0" xfId="0" quotePrefix="1" applyFont="1" applyFill="1" applyAlignment="1">
      <x:alignment horizontal="center"/>
    </x:xf>
    <x:xf numFmtId="14" fontId="10" fillId="5" borderId="30" xfId="0" applyNumberFormat="1" applyFont="1" applyFill="1" applyBorder="1"/>
    <x:xf numFmtId="0" fontId="10" fillId="5" borderId="30" xfId="0" applyFont="1" applyFill="1" applyBorder="1"/>
    <x:xf numFmtId="0" fontId="13" fillId="6" borderId="27" xfId="0" applyFont="1" applyFill="1" applyBorder="1"/>
    <x:xf numFmtId="0" fontId="14" fillId="6" borderId="28" xfId="0" applyFont="1" applyFill="1" applyBorder="1"/>
    <x:xf numFmtId="0" fontId="14" fillId="6" borderId="29" xfId="0" applyFont="1" applyFill="1" applyBorder="1"/>
    <x:xf numFmtId="14" fontId="0" fillId="7" borderId="1" xfId="0" applyNumberFormat="1" applyFill="1" applyBorder="1" applyAlignment="1">
      <x:alignment horizontal="center"/>
    </x:xf>
    <x:xf numFmtId="0" fontId="0" fillId="5" borderId="30" xfId="0" applyFill="1" applyBorder="1"/>
    <x:xf numFmtId="0" fontId="0" fillId="5" borderId="31" xfId="0" applyFill="1" applyBorder="1"/>
    <x:xf numFmtId="0" fontId="0" fillId="6" borderId="28" xfId="0" applyFill="1" applyBorder="1"/>
    <x:xf numFmtId="0" fontId="0" fillId="6" borderId="29" xfId="0" applyFill="1" applyBorder="1"/>
    <x:xf numFmtId="0" fontId="0" fillId="5" borderId="32" xfId="0" applyFill="1" applyBorder="1"/>
    <x:xf numFmtId="0" fontId="10" fillId="5" borderId="31" xfId="0" applyFont="1" applyFill="1" applyBorder="1" applyAlignment="1">
      <x:alignment horizontal="center"/>
    </x:xf>
    <x:xf numFmtId="0" fontId="17" fillId="5" borderId="0" xfId="0" applyFont="1" applyFill="1" applyAlignment="1">
      <x:alignment horizontal="left"/>
    </x:xf>
    <x:xf numFmtId="0" fontId="9" fillId="0" borderId="0" xfId="0" applyFont="1" applyProtection="1">
      <x:protection hidden="1"/>
    </x:xf>
    <x:xf numFmtId="4" fontId="9" fillId="0" borderId="0" xfId="0" applyNumberFormat="1" applyFont="1" applyProtection="1">
      <x:protection hidden="1"/>
    </x:xf>
    <x:xf numFmtId="14" fontId="9" fillId="0" borderId="0" xfId="0" applyNumberFormat="1" applyFont="1" applyProtection="1">
      <x:protection hidden="1"/>
    </x:xf>
    <x:xf numFmtId="0" fontId="6" fillId="0" borderId="0" xfId="0" applyFont="1" applyProtection="1">
      <x:protection locked="0"/>
    </x:xf>
    <x:xf numFmtId="0" fontId="6" fillId="4" borderId="33" xfId="0" applyFont="1" applyFill="1" applyBorder="1" applyAlignment="1" applyProtection="1">
      <x:alignment horizontal="right"/>
      <x:protection hidden="1"/>
    </x:xf>
    <x:xf numFmtId="0" fontId="8" fillId="4" borderId="34" xfId="0" applyFont="1" applyFill="1" applyBorder="1" applyAlignment="1">
      <x:alignment horizontal="center" wrapText="1"/>
    </x:xf>
    <x:xf numFmtId="0" fontId="8" fillId="4" borderId="17" xfId="0" applyFont="1" applyFill="1" applyBorder="1" applyAlignment="1">
      <x:alignment horizontal="center"/>
    </x:xf>
    <x:xf numFmtId="0" fontId="8" fillId="4" borderId="35" xfId="0" applyFont="1" applyFill="1" applyBorder="1" applyAlignment="1">
      <x:alignment horizontal="center"/>
    </x:xf>
    <x:xf numFmtId="0" fontId="6" fillId="5" borderId="0" xfId="0" applyFont="1" applyFill="1" applyProtection="1">
      <x:protection hidden="1"/>
    </x:xf>
    <x:xf numFmtId="0" fontId="0" fillId="8" borderId="36" xfId="0" applyFill="1" applyBorder="1" applyProtection="1">
      <x:protection locked="0"/>
    </x:xf>
    <x:xf numFmtId="0" fontId="0" fillId="8" borderId="37" xfId="0" applyFill="1" applyBorder="1" applyProtection="1">
      <x:protection locked="0"/>
    </x:xf>
    <x:xf numFmtId="0" fontId="0" fillId="9" borderId="36" xfId="0" applyFill="1" applyBorder="1" applyProtection="1">
      <x:protection locked="0"/>
    </x:xf>
    <x:xf numFmtId="0" fontId="6" fillId="9" borderId="38" xfId="0" applyFont="1" applyFill="1" applyBorder="1" applyProtection="1">
      <x:protection locked="0"/>
    </x:xf>
    <x:xf numFmtId="0" fontId="6" fillId="8" borderId="38" xfId="0" applyFont="1" applyFill="1" applyBorder="1" applyProtection="1">
      <x:protection locked="0"/>
    </x:xf>
    <x:xf numFmtId="0" fontId="6" fillId="7" borderId="38" xfId="0" applyFont="1" applyFill="1" applyBorder="1" applyProtection="1">
      <x:protection locked="0"/>
    </x:xf>
    <x:xf numFmtId="0" fontId="0" fillId="7" borderId="1" xfId="0" applyFill="1" applyBorder="1" applyProtection="1">
      <x:protection locked="0"/>
    </x:xf>
    <x:xf numFmtId="0" fontId="0" fillId="7" borderId="27" xfId="0" applyFill="1" applyBorder="1" applyProtection="1">
      <x:protection locked="0"/>
    </x:xf>
    <x:xf numFmtId="0" fontId="16" fillId="5" borderId="31" xfId="0" applyFont="1" applyFill="1" applyBorder="1" applyProtection="1">
      <x:protection locked="0"/>
    </x:xf>
    <x:xf numFmtId="0" fontId="10" fillId="5" borderId="32" xfId="0" applyFont="1" applyFill="1" applyBorder="1" applyAlignment="1" applyProtection="1">
      <x:alignment horizontal="center"/>
      <x:protection locked="0"/>
    </x:xf>
    <x:xf numFmtId="0" fontId="10" fillId="5" borderId="30" xfId="0" applyFont="1" applyFill="1" applyBorder="1" applyAlignment="1" applyProtection="1">
      <x:alignment horizontal="center"/>
      <x:protection locked="0"/>
    </x:xf>
    <x:xf numFmtId="0" fontId="10" fillId="5" borderId="32" xfId="0" applyFont="1" applyFill="1" applyBorder="1" applyProtection="1">
      <x:protection locked="0"/>
    </x:xf>
    <x:xf numFmtId="0" fontId="6" fillId="4" borderId="0" xfId="0" applyFont="1" applyFill="1" applyProtection="1">
      <x:protection hidden="1"/>
    </x:xf>
    <x:xf numFmtId="0" fontId="18" fillId="2" borderId="2" xfId="0" applyFont="1" applyFill="1" applyBorder="1" applyAlignment="1">
      <x:alignment horizontal="center"/>
    </x:xf>
    <x:xf numFmtId="0" fontId="18" fillId="2" borderId="2" xfId="0" applyFont="1" applyFill="1" applyBorder="1" applyAlignment="1">
      <x:alignment horizontal="center" wrapText="1"/>
    </x:xf>
    <x:xf numFmtId="0" fontId="8" fillId="4" borderId="39" xfId="0" applyFont="1" applyFill="1" applyBorder="1" applyAlignment="1">
      <x:alignment wrapText="1"/>
    </x:xf>
    <x:xf numFmtId="0" fontId="8" fillId="4" borderId="0" xfId="0" applyFont="1" applyFill="1" applyAlignment="1">
      <x:alignment horizontal="center" wrapText="1"/>
    </x:xf>
    <x:xf numFmtId="0" fontId="8" fillId="4" borderId="33" xfId="0" applyFont="1" applyFill="1" applyBorder="1" applyAlignment="1">
      <x:alignment wrapText="1"/>
    </x:xf>
    <x:xf numFmtId="164" fontId="12" fillId="2" borderId="34" xfId="0" applyNumberFormat="1" applyFont="1" applyFill="1" applyBorder="1" applyProtection="1">
      <x:protection hidden="1"/>
    </x:xf>
    <x:xf numFmtId="4" fontId="0" fillId="2" borderId="39" xfId="0" applyNumberFormat="1" applyFill="1" applyBorder="1" applyProtection="1">
      <x:protection hidden="1"/>
    </x:xf>
    <x:xf numFmtId="0" fontId="0" fillId="4" borderId="39" xfId="0" applyFill="1" applyBorder="1" applyProtection="1">
      <x:protection hidden="1"/>
    </x:xf>
    <x:xf numFmtId="4" fontId="0" fillId="4" borderId="39" xfId="0" applyNumberFormat="1" applyFill="1" applyBorder="1" applyProtection="1">
      <x:protection hidden="1"/>
    </x:xf>
    <x:xf numFmtId="0" fontId="5" fillId="4" borderId="40" xfId="0" applyFont="1" applyFill="1" applyBorder="1" applyProtection="1">
      <x:protection hidden="1"/>
    </x:xf>
    <x:xf numFmtId="0" fontId="12" fillId="2" borderId="34" xfId="0" applyFont="1" applyFill="1" applyBorder="1" applyProtection="1">
      <x:protection hidden="1"/>
    </x:xf>
    <x:xf numFmtId="0" fontId="0" fillId="4" borderId="40" xfId="0" applyFill="1" applyBorder="1" applyProtection="1">
      <x:protection hidden="1"/>
    </x:xf>
    <x:xf numFmtId="0" fontId="5" fillId="4" borderId="39" xfId="0" applyFont="1" applyFill="1" applyBorder="1" applyProtection="1">
      <x:protection hidden="1"/>
    </x:xf>
    <x:xf numFmtId="164" fontId="0" fillId="4" borderId="17" xfId="0" applyNumberFormat="1" applyFill="1" applyBorder="1" applyProtection="1">
      <x:protection hidden="1"/>
    </x:xf>
    <x:xf numFmtId="0" fontId="6" fillId="4" borderId="0" xfId="0" applyFont="1" applyFill="1" applyAlignment="1" applyProtection="1">
      <x:alignment horizontal="right"/>
      <x:protection hidden="1"/>
    </x:xf>
    <x:xf numFmtId="0" fontId="0" fillId="4" borderId="0" xfId="0" applyFill="1" applyProtection="1">
      <x:protection hidden="1"/>
    </x:xf>
    <x:xf numFmtId="0" fontId="0" fillId="4" borderId="17" xfId="0" applyFill="1" applyBorder="1" applyProtection="1">
      <x:protection hidden="1"/>
    </x:xf>
    <x:xf numFmtId="14" fontId="0" fillId="4" borderId="16" xfId="0" applyNumberFormat="1" applyFill="1" applyBorder="1" applyProtection="1">
      <x:protection hidden="1"/>
    </x:xf>
    <x:xf numFmtId="4" fontId="0" fillId="4" borderId="0" xfId="0" applyNumberFormat="1" applyFill="1" applyProtection="1">
      <x:protection hidden="1"/>
    </x:xf>
    <x:xf numFmtId="0" fontId="0" fillId="4" borderId="0" xfId="0" applyFill="1" applyAlignment="1" applyProtection="1">
      <x:alignment horizontal="right"/>
      <x:protection hidden="1"/>
    </x:xf>
    <x:xf numFmtId="0" fontId="0" fillId="4" borderId="35" xfId="0" applyFill="1" applyBorder="1" applyProtection="1">
      <x:protection hidden="1"/>
    </x:xf>
    <x:xf numFmtId="0" fontId="0" fillId="4" borderId="33" xfId="0" applyFill="1" applyBorder="1" applyProtection="1">
      <x:protection hidden="1"/>
    </x:xf>
    <x:xf numFmtId="0" fontId="0" fillId="4" borderId="16" xfId="0" applyFill="1" applyBorder="1" applyProtection="1">
      <x:protection hidden="1"/>
    </x:xf>
    <x:xf numFmtId="0" fontId="6" fillId="4" borderId="17" xfId="0" applyFont="1" applyFill="1" applyBorder="1" applyProtection="1">
      <x:protection hidden="1"/>
    </x:xf>
    <x:xf numFmtId="164" fontId="0" fillId="4" borderId="35" xfId="0" applyNumberFormat="1" applyFill="1" applyBorder="1" applyProtection="1">
      <x:protection hidden="1"/>
    </x:xf>
    <x:xf numFmtId="4" fontId="0" fillId="4" borderId="33" xfId="0" applyNumberFormat="1" applyFill="1" applyBorder="1" applyProtection="1">
      <x:protection hidden="1"/>
    </x:xf>
    <x:xf numFmtId="4" fontId="0" fillId="3" borderId="42" xfId="0" applyNumberFormat="1" applyFill="1" applyBorder="1" applyProtection="1">
      <x:protection locked="0"/>
    </x:xf>
    <x:xf numFmtId="4" fontId="0" fillId="3" borderId="43" xfId="0" applyNumberFormat="1" applyFill="1" applyBorder="1" applyProtection="1">
      <x:protection locked="0"/>
    </x:xf>
    <x:xf numFmtId="0" fontId="6" fillId="3" borderId="53" xfId="0" applyFont="1" applyFill="1" applyBorder="1" applyAlignment="1" applyProtection="1">
      <x:alignment horizontal="center"/>
      <x:protection locked="0"/>
    </x:xf>
    <x:xf numFmtId="4" fontId="0" fillId="3" borderId="54" xfId="0" applyNumberFormat="1" applyFill="1" applyBorder="1" applyProtection="1">
      <x:protection locked="0"/>
    </x:xf>
    <x:xf numFmtId="164" fontId="0" fillId="3" borderId="55" xfId="0" applyNumberFormat="1" applyFill="1" applyBorder="1" applyProtection="1">
      <x:protection locked="0"/>
    </x:xf>
    <x:xf numFmtId="0" fontId="0" fillId="3" borderId="54" xfId="0" applyFill="1" applyBorder="1" applyProtection="1">
      <x:protection locked="0"/>
    </x:xf>
    <x:xf numFmtId="4" fontId="0" fillId="3" borderId="55" xfId="0" applyNumberFormat="1" applyFill="1" applyBorder="1" applyProtection="1">
      <x:protection locked="0"/>
    </x:xf>
    <x:xf numFmtId="164" fontId="6" fillId="3" borderId="53" xfId="0" applyNumberFormat="1" applyFont="1" applyFill="1" applyBorder="1" applyProtection="1">
      <x:protection locked="0"/>
    </x:xf>
    <x:xf numFmtId="0" fontId="15" fillId="5" borderId="26" xfId="0" quotePrefix="1" applyFont="1" applyFill="1" applyBorder="1" applyAlignment="1">
      <x:alignment horizontal="center"/>
    </x:xf>
    <x:xf numFmtId="170" fontId="6" fillId="3" borderId="53" xfId="0" applyNumberFormat="1" applyFont="1" applyFill="1" applyBorder="1" applyProtection="1">
      <x:protection locked="0"/>
    </x:xf>
    <x:xf numFmtId="0" fontId="7" fillId="4" borderId="7" xfId="0" applyFont="1" applyFill="1" applyBorder="1" applyProtection="1">
      <x:protection hidden="1"/>
    </x:xf>
    <x:xf numFmtId="0" fontId="7" fillId="4" borderId="0" xfId="0" applyFont="1" applyFill="1" applyProtection="1">
      <x:protection hidden="1"/>
    </x:xf>
    <x:xf numFmtId="0" fontId="7" fillId="4" borderId="16" xfId="0" applyFont="1" applyFill="1" applyBorder="1" applyProtection="1">
      <x:protection hidden="1"/>
    </x:xf>
    <x:xf numFmtId="170" fontId="0" fillId="4" borderId="16" xfId="0" applyNumberFormat="1" applyFill="1" applyBorder="1" applyProtection="1">
      <x:protection hidden="1"/>
    </x:xf>
    <x:xf numFmtId="14" fontId="0" fillId="3" borderId="53" xfId="0" applyNumberFormat="1" applyFill="1" applyBorder="1" applyAlignment="1" applyProtection="1">
      <x:alignment horizontal="center"/>
      <x:protection locked="0"/>
    </x:xf>
    <x:xf numFmtId="170" fontId="5" fillId="2" borderId="33" xfId="0" applyNumberFormat="1" applyFont="1" applyFill="1" applyBorder="1" applyAlignment="1" applyProtection="1">
      <x:alignment horizontal="center"/>
      <x:protection hidden="1"/>
    </x:xf>
    <x:xf numFmtId="0" fontId="0" fillId="4" borderId="41" xfId="0" applyFill="1" applyBorder="1" applyProtection="1">
      <x:protection hidden="1"/>
    </x:xf>
    <x:xf numFmtId="170" fontId="5" fillId="2" borderId="41" xfId="0" applyNumberFormat="1" applyFont="1" applyFill="1" applyBorder="1" applyProtection="1">
      <x:protection hidden="1"/>
    </x:xf>
    <x:xf numFmtId="0" fontId="6" fillId="0" borderId="0" xfId="0" applyFont="1"/>
    <x:xf numFmtId="0" fontId="0" fillId="0" borderId="0" xfId="0" applyAlignment="1" applyProtection="1">
      <x:alignment horizontal="right"/>
      <x:protection locked="0"/>
    </x:xf>
    <x:xf numFmtId="169" fontId="0" fillId="7" borderId="36" xfId="0" applyNumberFormat="1" applyFill="1" applyBorder="1" applyProtection="1">
      <x:protection locked="0"/>
    </x:xf>
    <x:xf numFmtId="167" fontId="7" fillId="4" borderId="18" xfId="0" applyNumberFormat="1" applyFont="1" applyFill="1" applyBorder="1" applyAlignment="1">
      <x:alignment wrapText="1"/>
    </x:xf>
    <x:xf numFmtId="167" fontId="7" fillId="4" borderId="19" xfId="0" applyNumberFormat="1" applyFont="1" applyFill="1" applyBorder="1" applyAlignment="1">
      <x:alignment wrapText="1"/>
    </x:xf>
    <x:xf numFmtId="167" fontId="7" fillId="4" borderId="20" xfId="0" applyNumberFormat="1" applyFont="1" applyFill="1" applyBorder="1" applyAlignment="1">
      <x:alignment wrapText="1"/>
    </x:xf>
    <x:xf numFmtId="169" fontId="0" fillId="7" borderId="37" xfId="0" applyNumberFormat="1" applyFill="1" applyBorder="1" applyProtection="1">
      <x:protection locked="0"/>
    </x:xf>
    <x:xf numFmtId="170" fontId="12" fillId="2" borderId="2" xfId="0" applyNumberFormat="1" applyFont="1" applyFill="1" applyBorder="1" applyAlignment="1">
      <x:alignment wrapText="1"/>
    </x:xf>
    <x:xf numFmtId="171" fontId="12" fillId="2" borderId="2" xfId="0" applyNumberFormat="1" applyFont="1" applyFill="1" applyBorder="1" applyAlignment="1">
      <x:alignment horizontal="right" wrapText="1"/>
    </x:xf>
    <x:xf numFmtId="171" fontId="12" fillId="2" borderId="44" xfId="0" applyNumberFormat="1" applyFont="1" applyFill="1" applyBorder="1" applyAlignment="1">
      <x:alignment horizontal="right" wrapText="1"/>
    </x:xf>
    <x:xf numFmtId="171" fontId="12" fillId="2" borderId="45" xfId="0" applyNumberFormat="1" applyFont="1" applyFill="1" applyBorder="1" applyAlignment="1">
      <x:alignment horizontal="right" wrapText="1"/>
    </x:xf>
    <x:xf numFmtId="170" fontId="0" fillId="3" borderId="11" xfId="0" applyNumberFormat="1" applyFill="1" applyBorder="1" applyProtection="1">
      <x:protection locked="0"/>
    </x:xf>
    <x:xf numFmtId="0" fontId="1" fillId="4" borderId="7" xfId="0" applyFont="1" applyFill="1" applyBorder="1" applyAlignment="1">
      <x:alignment horizontal="center"/>
    </x:xf>
    <x:xf numFmtId="171" fontId="0" fillId="4" borderId="7" xfId="0" applyNumberFormat="1" applyFill="1" applyBorder="1"/>
    <x:xf numFmtId="171" fontId="0" fillId="4" borderId="46" xfId="0" applyNumberFormat="1" applyFill="1" applyBorder="1"/>
    <x:xf numFmtId="171" fontId="0" fillId="4" borderId="47" xfId="0" applyNumberFormat="1" applyFill="1" applyBorder="1"/>
    <x:xf numFmtId="171" fontId="0" fillId="4" borderId="48" xfId="0" applyNumberFormat="1" applyFill="1" applyBorder="1"/>
    <x:xf numFmtId="170" fontId="0" fillId="3" borderId="12" xfId="0" applyNumberFormat="1" applyFill="1" applyBorder="1" applyProtection="1">
      <x:protection locked="0"/>
    </x:xf>
    <x:xf numFmtId="0" fontId="1" fillId="4" borderId="8" xfId="0" applyFont="1" applyFill="1" applyBorder="1" applyAlignment="1">
      <x:alignment horizontal="center"/>
    </x:xf>
    <x:xf numFmtId="171" fontId="0" fillId="4" borderId="8" xfId="0" applyNumberFormat="1" applyFill="1" applyBorder="1"/>
    <x:xf numFmtId="171" fontId="0" fillId="4" borderId="49" xfId="0" applyNumberFormat="1" applyFill="1" applyBorder="1"/>
    <x:xf numFmtId="170" fontId="0" fillId="3" borderId="14" xfId="0" applyNumberFormat="1" applyFill="1" applyBorder="1" applyProtection="1">
      <x:protection locked="0"/>
    </x:xf>
    <x:xf numFmtId="0" fontId="1" fillId="4" borderId="9" xfId="0" applyFont="1" applyFill="1" applyBorder="1" applyAlignment="1">
      <x:alignment horizontal="center"/>
    </x:xf>
    <x:xf numFmtId="171" fontId="0" fillId="4" borderId="9" xfId="0" applyNumberFormat="1" applyFill="1" applyBorder="1"/>
    <x:xf numFmtId="171" fontId="0" fillId="4" borderId="50" xfId="0" applyNumberFormat="1" applyFill="1" applyBorder="1"/>
    <x:xf numFmtId="171" fontId="0" fillId="4" borderId="51" xfId="0" applyNumberFormat="1" applyFill="1" applyBorder="1"/>
    <x:xf numFmtId="171" fontId="0" fillId="4" borderId="52" xfId="0" applyNumberFormat="1" applyFill="1" applyBorder="1"/>
    <x:xf numFmtId="170" fontId="6" fillId="4" borderId="0" xfId="0" applyNumberFormat="1" applyFont="1" applyFill="1" applyProtection="1">
      <x:protection hidden="1"/>
    </x:xf>
    <x:xf numFmtId="0" fontId="0" fillId="5" borderId="26" xfId="0" applyFill="1" applyBorder="1" applyProtection="1">
      <x:protection locked="0"/>
    </x:xf>
    <x:xf numFmtId="14" fontId="0" fillId="5" borderId="0" xfId="0" applyNumberFormat="1" applyFill="1"/>
    <x:xf numFmtId="14" fontId="0" fillId="5" borderId="26" xfId="0" applyNumberFormat="1" applyFill="1" applyBorder="1"/>
    <x:xf numFmtId="170" fontId="0" fillId="5" borderId="0" xfId="0" applyNumberFormat="1" applyFill="1"/>
    <x:xf numFmtId="170" fontId="0" fillId="7" borderId="1" xfId="0" applyNumberFormat="1" applyFill="1" applyBorder="1" applyProtection="1">
      <x:protection locked="0"/>
    </x:xf>
    <x:xf numFmtId="170" fontId="0" fillId="5" borderId="26" xfId="0" applyNumberFormat="1" applyFill="1" applyBorder="1"/>
    <x:xf numFmtId="0" fontId="6" fillId="9" borderId="3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12" fillId="2" borderId="3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4" fontId="0" fillId="2" borderId="3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3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4" fontId="0" fillId="4" borderId="3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5" fillId="4" borderId="4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12" fillId="2" borderId="3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4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5" fillId="4" borderId="3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9" borderId="3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4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6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170" fontId="6" fillId="3" borderId="5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3" borderId="5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4" fontId="0" fillId="3" borderId="5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4" borderId="17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1"/>
    </x:xf>
    <x:xf numFmtId="0" fontId="0" fillId="4" borderId="0" xfId="0" applyNumberFormat="1" applyFill="0" applyBorder="0" applyAlignment="1" applyProtection="1">
      <x:alignment horizontal="right" vertical="bottom" textRotation="0" wrapText="1" indent="0" relativeIndent="0" justifyLastLine="0" shrinkToFit="0" readingOrder="0"/>
      <x:protection locked="1" hidden="1"/>
    </x:xf>
    <x:xf numFmtId="14" fontId="0" fillId="4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0" fontId="0" fillId="4" borderId="3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3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64" fontId="0" fillId="3" borderId="5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8" borderId="3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3" borderId="5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7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7" fillId="4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70" fontId="0" fillId="4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8" borderId="3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2" fontId="0" fillId="3" borderId="5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4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3" borderId="5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4" borderId="3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6" fillId="4" borderId="3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170" fontId="5" fillId="2" borderId="3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1"/>
    </x:xf>
    <x:xf numFmtId="4" fontId="0" fillId="4" borderId="3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4" borderId="4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4" fontId="0" fillId="3" borderId="5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4" borderId="3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170" fontId="5" fillId="2" borderId="4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8" borderId="3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7" borderId="3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5" fillId="2" borderId="2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5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5" fillId="2" borderId="4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2" borderId="2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2" borderId="4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1" fillId="2" borderId="2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11" fillId="2" borderId="4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9" fontId="0" fillId="7" borderId="3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67" fontId="7" fillId="4" borderId="18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7" fontId="7" fillId="4" borderId="19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7" fontId="7" fillId="4" borderId="20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4" borderId="3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3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39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4" borderId="39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8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2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5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3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40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4" fontId="8" fillId="4" borderId="5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8" fillId="4" borderId="5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5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8" fillId="4" borderId="6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1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4" borderId="69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3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1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4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0" fillId="7" borderId="3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8" fillId="4" borderId="5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8" fillId="4" borderId="5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5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8" fillId="4" borderId="6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3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4" borderId="3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4" borderId="3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4" borderId="70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33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67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8" fillId="4" borderId="3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4" borderId="4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2" borderId="2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70" fontId="12" fillId="2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" fontId="5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0" fillId="3" borderId="4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2" fillId="2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8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8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4" fontId="12" fillId="2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1" fontId="12" fillId="2" borderId="2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71" fontId="12" fillId="2" borderId="4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71" fontId="12" fillId="2" borderId="45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4" fontId="0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0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" fontId="0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" fontId="0" fillId="3" borderId="4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4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0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" fontId="0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" fontId="0" fillId="3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4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0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" fontId="0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" fontId="0" fillId="3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5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5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4" borderId="5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7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13" fillId="6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6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5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6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0" fillId="5" borderId="3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0" fillId="5" borderId="3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10" fillId="5" borderId="3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7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7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0" fillId="5" borderId="3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quotePrefix="1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6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0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0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">
    <x:cellStyle name="cBMilliers" xfId="1" xr:uid="{00000000-0005-0000-0000-000000000000}"/>
    <x:cellStyle name="cBMilliers-" xfId="2" xr:uid="{00000000-0005-0000-0000-000001000000}"/>
    <x:cellStyle name="Hyperlink" xfId="3" builtinId="8"/>
    <x:cellStyle name="Normal" xfId="0" builtinId="0"/>
  </x:cellStyles>
  <x:dxfs count="6">
    <x:dxf>
      <x:fill>
        <x:patternFill patternType="solid">
          <x:fgColor auto="1"/>
          <x:bgColor indexed="9"/>
        </x:patternFill>
      </x:fill>
    </x:dxf>
    <x:dxf>
      <x:fill>
        <x:patternFill patternType="solid">
          <x:fgColor auto="1"/>
          <x:bgColor indexed="34"/>
        </x:patternFill>
      </x:fill>
    </x:dxf>
    <x:dxf>
      <x:fill>
        <x:patternFill patternType="solid">
          <x:fgColor auto="1"/>
          <x:bgColor indexed="33"/>
        </x:patternFill>
      </x:fill>
    </x:dxf>
    <x:dxf>
      <x:font>
        <x:b/>
        <x:color indexed="9"/>
      </x:font>
      <x:fill>
        <x:patternFill patternType="solid">
          <x:fgColor auto="1"/>
          <x:bgColor indexed="10"/>
        </x:patternFill>
      </x:fill>
    </x:dxf>
    <x:dxf>
      <x:fill>
        <x:patternFill patternType="solid">
          <x:fgColor auto="1"/>
          <x:bgColor indexed="10"/>
        </x:patternFill>
      </x:fill>
    </x:dxf>
    <x:dxf>
      <x:font>
        <x:b/>
      </x:font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666699"/>
      <x:rgbColor rgb="00CCCCFF"/>
      <x:rgbColor rgb="00FFFFCC"/>
      <x:rgbColor rgb="00CCFFFF"/>
      <x:rgbColor rgb="00660066"/>
      <x:rgbColor rgb="00FF8080"/>
      <x:rgbColor rgb="000066CC"/>
      <x:rgbColor rgb="00CCCCFF"/>
      <x:rgbColor rgb="00B0C4DE"/>
      <x:rgbColor rgb="00FFCCFF"/>
      <x:rgbColor rgb="00FF99FF"/>
      <x:rgbColor rgb="0099FFCC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$W$2" fmlaRange="$W$3:$W$9" sel="1" val="0"/>
</file>

<file path=xl/ctrlProps/ctrlProp2.xml><?xml version="1.0" encoding="utf-8"?>
<formControlPr xmlns="http://schemas.microsoft.com/office/spreadsheetml/2009/9/main" objectType="Radio" firstButton="1" fmlaLink="$V$2" lockText="1"/>
</file>

<file path=xl/ctrlProps/ctrlProp3.xml><?xml version="1.0" encoding="utf-8"?>
<formControlPr xmlns="http://schemas.microsoft.com/office/spreadsheetml/2009/9/main" objectType="Radio" checked="Checked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Radio" checked="Checked" firstButton="1" fmlaLink="$V$5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GBox"/>
</file>

<file path=xl/ctrlProps/ctrlProp8.xml><?xml version="1.0" encoding="utf-8"?>
<formControlPr xmlns="http://schemas.microsoft.com/office/spreadsheetml/2009/9/main" objectType="GBox"/>
</file>

<file path=xl/ctrlProps/ctrlProp9.xml><?xml version="1.0" encoding="utf-8"?>
<formControlPr xmlns="http://schemas.microsoft.com/office/spreadsheetml/2009/9/main" objectType="Radio" checked="Checked" firstButton="1" fmlaLink="$I$9" lockText="1"/>
</file>

<file path=xl/ctrlProps/ctrlProp10.xml><?xml version="1.0" encoding="utf-8"?>
<formControlPr xmlns="http://schemas.microsoft.com/office/spreadsheetml/2009/9/main" objectType="Radio" lockText="1"/>
</file>

<file path=xl/ctrlProps/ctrlProp11.xml><?xml version="1.0" encoding="utf-8"?>
<formControlPr xmlns="http://schemas.microsoft.com/office/spreadsheetml/2009/9/main" objectType="CheckBox" fmlaLink="$I$12" lockText="1"/>
</file>

<file path=xl/ctrlProps/ctrlProp12.xml><?xml version="1.0" encoding="utf-8"?>
<formControlPr xmlns="http://schemas.microsoft.com/office/spreadsheetml/2009/9/main" objectType="CheckBox" fmlaLink="$I$15" lockText="1"/>
</file>

<file path=xl/ctrlProps/ctrlProp13.xml><?xml version="1.0" encoding="utf-8"?>
<formControlPr xmlns="http://schemas.microsoft.com/office/spreadsheetml/2009/9/main" objectType="Radio" checked="Checked" firstButton="1" fmlaLink="$I$27" lockText="1"/>
</file>

<file path=xl/ctrlProps/ctrlProp14.xml><?xml version="1.0" encoding="utf-8"?>
<formControlPr xmlns="http://schemas.microsoft.com/office/spreadsheetml/2009/9/main" objectType="Radio" lockText="1"/>
</file>

<file path=xl/ctrlProps/ctrlProp15.xml><?xml version="1.0" encoding="utf-8"?>
<formControlPr xmlns="http://schemas.microsoft.com/office/spreadsheetml/2009/9/main" objectType="GBox"/>
</file>

<file path=xl/ctrlProps/ctrlProp16.xml><?xml version="1.0" encoding="utf-8"?>
<formControlPr xmlns="http://schemas.microsoft.com/office/spreadsheetml/2009/9/main" objectType="Radio" lockText="1"/>
</file>

<file path=xl/ctrlProps/ctrlProp17.xml><?xml version="1.0" encoding="utf-8"?>
<formControlPr xmlns="http://schemas.microsoft.com/office/spreadsheetml/2009/9/main" objectType="Spin" dx="16" fmlaLink="$I$23" max="1000" page="10" val="50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banque.com/?go=jxtamm30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6</xdr:row>
      <xdr:rowOff>85725</xdr:rowOff>
    </xdr:from>
    <xdr:to>
      <xdr:col>9</xdr:col>
      <xdr:colOff>346110</xdr:colOff>
      <xdr:row>7</xdr:row>
      <xdr:rowOff>133350</xdr:rowOff>
    </xdr:to>
    <xdr:sp macro="" textlink="">
      <xdr:nvSpPr>
        <xdr:cNvPr id="1028" name="Text 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CA0239-D031-42B1-B950-F48507EC0B56}"/>
            </a:ext>
          </a:extLst>
        </xdr:cNvPr>
        <xdr:cNvSpPr txBox="1">
          <a:spLocks noChangeArrowheads="1"/>
        </xdr:cNvSpPr>
      </xdr:nvSpPr>
      <xdr:spPr bwMode="auto">
        <a:xfrm>
          <a:off x="2771775" y="1076325"/>
          <a:ext cx="2619375" cy="209550"/>
        </a:xfrm>
        <a:prstGeom prst="rect">
          <a:avLst/>
        </a:prstGeom>
        <a:solidFill>
          <a:srgbClr val="FFFFFF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fr-FR" sz="1100" b="1" i="0" u="none" strike="noStrike" baseline="0">
              <a:solidFill>
                <a:srgbClr val="800000"/>
              </a:solidFill>
              <a:latin typeface="Arial"/>
              <a:cs typeface="Arial"/>
            </a:rPr>
            <a:t>JxTamm v3.0</a:t>
          </a:r>
          <a:r>
            <a:rPr lang="fr-FR" sz="1100" b="1" i="0" u="none" strike="noStrike" baseline="0">
              <a:solidFill>
                <a:srgbClr val="666699"/>
              </a:solidFill>
              <a:latin typeface="Arial"/>
              <a:cs typeface="Arial"/>
            </a:rPr>
            <a:t> </a:t>
          </a:r>
          <a:r>
            <a:rPr lang="fr-FR" sz="1000" b="1" i="0" u="sng" strike="noStrike" baseline="0">
              <a:solidFill>
                <a:srgbClr val="0000FF"/>
              </a:solidFill>
              <a:latin typeface="Arial"/>
              <a:cs typeface="Arial"/>
            </a:rPr>
            <a:t>www.cbanque.com</a:t>
          </a:r>
        </a:p>
      </xdr:txBody>
    </xdr:sp>
    <xdr:clientData/>
  </xdr:twoCellAnchor>
  <xdr:twoCellAnchor>
    <xdr:from>
      <xdr:col>7</xdr:col>
      <xdr:colOff>158750</xdr:colOff>
      <xdr:row>0</xdr:row>
      <xdr:rowOff>0</xdr:rowOff>
    </xdr:from>
    <xdr:to>
      <xdr:col>11</xdr:col>
      <xdr:colOff>254000</xdr:colOff>
      <xdr:row>0</xdr:row>
      <xdr:rowOff>152400</xdr:rowOff>
    </xdr:to>
    <xdr:sp macro="" textlink="">
      <xdr:nvSpPr>
        <xdr:cNvPr id="1228" name="Text Box 204">
          <a:extLst>
            <a:ext uri="{FF2B5EF4-FFF2-40B4-BE49-F238E27FC236}">
              <a16:creationId xmlns:a16="http://schemas.microsoft.com/office/drawing/2014/main" id="{27E81FEB-6D52-4A52-A8B8-E77A4D99041E}"/>
            </a:ext>
          </a:extLst>
        </xdr:cNvPr>
        <xdr:cNvSpPr txBox="1">
          <a:spLocks noChangeArrowheads="1"/>
        </xdr:cNvSpPr>
      </xdr:nvSpPr>
      <xdr:spPr bwMode="auto">
        <a:xfrm>
          <a:off x="4333875" y="0"/>
          <a:ext cx="21526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Version réservée à un usage privé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</xdr:row>
          <xdr:rowOff>152400</xdr:rowOff>
        </xdr:from>
        <xdr:to>
          <xdr:col>9</xdr:col>
          <xdr:colOff>85725</xdr:colOff>
          <xdr:row>6</xdr:row>
          <xdr:rowOff>28575</xdr:rowOff>
        </xdr:to>
        <xdr:sp macro="" textlink="">
          <xdr:nvSpPr>
            <xdr:cNvPr id="1072" name="Drop Down 48" descr="Périodicité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5</xdr:row>
          <xdr:rowOff>28575</xdr:rowOff>
        </xdr:from>
        <xdr:to>
          <xdr:col>2</xdr:col>
          <xdr:colOff>628650</xdr:colOff>
          <xdr:row>6</xdr:row>
          <xdr:rowOff>85725</xdr:rowOff>
        </xdr:to>
        <xdr:sp macro="" textlink="">
          <xdr:nvSpPr>
            <xdr:cNvPr id="1080" name="Option 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actuariel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5</xdr:row>
          <xdr:rowOff>28575</xdr:rowOff>
        </xdr:from>
        <xdr:to>
          <xdr:col>3</xdr:col>
          <xdr:colOff>628650</xdr:colOff>
          <xdr:row>6</xdr:row>
          <xdr:rowOff>85725</xdr:rowOff>
        </xdr:to>
        <xdr:sp macro="" textlink="">
          <xdr:nvSpPr>
            <xdr:cNvPr id="1081" name="Option 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proportionnel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19050</xdr:rowOff>
        </xdr:from>
        <xdr:to>
          <xdr:col>3</xdr:col>
          <xdr:colOff>657225</xdr:colOff>
          <xdr:row>6</xdr:row>
          <xdr:rowOff>104775</xdr:rowOff>
        </xdr:to>
        <xdr:sp macro="" textlink="">
          <xdr:nvSpPr>
            <xdr:cNvPr id="1082" name="Group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504825</xdr:colOff>
          <xdr:row>4</xdr:row>
          <xdr:rowOff>47625</xdr:rowOff>
        </xdr:from>
        <xdr:to>
          <xdr:col>12</xdr:col>
          <xdr:colOff>247650</xdr:colOff>
          <xdr:row>5</xdr:row>
          <xdr:rowOff>104775</xdr:rowOff>
        </xdr:to>
        <xdr:sp macro="" textlink="">
          <xdr:nvSpPr>
            <xdr:cNvPr id="1083" name="Option Butto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simple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238125</xdr:colOff>
          <xdr:row>4</xdr:row>
          <xdr:rowOff>47625</xdr:rowOff>
        </xdr:from>
        <xdr:to>
          <xdr:col>12</xdr:col>
          <xdr:colOff>685800</xdr:colOff>
          <xdr:row>5</xdr:row>
          <xdr:rowOff>104775</xdr:rowOff>
        </xdr:to>
        <xdr:sp macro="" textlink="">
          <xdr:nvSpPr>
            <xdr:cNvPr id="1084" name="Option Butto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total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485775</xdr:colOff>
          <xdr:row>4</xdr:row>
          <xdr:rowOff>28575</xdr:rowOff>
        </xdr:from>
        <xdr:to>
          <xdr:col>12</xdr:col>
          <xdr:colOff>714375</xdr:colOff>
          <xdr:row>5</xdr:row>
          <xdr:rowOff>114300</xdr:rowOff>
        </xdr:to>
        <xdr:sp macro="" textlink="">
          <xdr:nvSpPr>
            <xdr:cNvPr id="1085" name="Group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5</xdr:row>
          <xdr:rowOff>76200</xdr:rowOff>
        </xdr:from>
        <xdr:to>
          <xdr:col>6</xdr:col>
          <xdr:colOff>190500</xdr:colOff>
          <xdr:row>7</xdr:row>
          <xdr:rowOff>66675</xdr:rowOff>
        </xdr:to>
        <xdr:sp macro="" textlink="">
          <xdr:nvSpPr>
            <xdr:cNvPr id="3075" name="Group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5</xdr:row>
          <xdr:rowOff>114300</xdr:rowOff>
        </xdr:from>
        <xdr:to>
          <xdr:col>3</xdr:col>
          <xdr:colOff>381000</xdr:colOff>
          <xdr:row>7</xdr:row>
          <xdr:rowOff>28575</xdr:rowOff>
        </xdr:to>
        <xdr:sp macro="" textlink="">
          <xdr:nvSpPr>
            <xdr:cNvPr id="3076" name="Option 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Remboursement d'échéance fixe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5</xdr:row>
          <xdr:rowOff>114300</xdr:rowOff>
        </xdr:from>
        <xdr:to>
          <xdr:col>6</xdr:col>
          <xdr:colOff>19050</xdr:colOff>
          <xdr:row>7</xdr:row>
          <xdr:rowOff>9525</xdr:rowOff>
        </xdr:to>
        <xdr:sp macro="" textlink="">
          <xdr:nvSpPr>
            <xdr:cNvPr id="3077" name="Option 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Remboursement du capital constant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11</xdr:row>
          <xdr:rowOff>57150</xdr:rowOff>
        </xdr:from>
        <xdr:to>
          <xdr:col>3</xdr:col>
          <xdr:colOff>104775</xdr:colOff>
          <xdr:row>12</xdr:row>
          <xdr:rowOff>114300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Limiter la durée d'amortissement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14</xdr:row>
          <xdr:rowOff>19050</xdr:rowOff>
        </xdr:from>
        <xdr:to>
          <xdr:col>3</xdr:col>
          <xdr:colOff>838200</xdr:colOff>
          <xdr:row>15</xdr:row>
          <xdr:rowOff>76200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Rembourser le capital restant à cette limite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24</xdr:row>
          <xdr:rowOff>9525</xdr:rowOff>
        </xdr:from>
        <xdr:to>
          <xdr:col>4</xdr:col>
          <xdr:colOff>57150</xdr:colOff>
          <xdr:row>25</xdr:row>
          <xdr:rowOff>66675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1- Échéance standard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25</xdr:row>
          <xdr:rowOff>85725</xdr:rowOff>
        </xdr:from>
        <xdr:to>
          <xdr:col>5</xdr:col>
          <xdr:colOff>352425</xdr:colOff>
          <xdr:row>26</xdr:row>
          <xdr:rowOff>142875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2- Échéance avec intérêts proportionnels à la durée réelle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23</xdr:row>
          <xdr:rowOff>85725</xdr:rowOff>
        </xdr:from>
        <xdr:to>
          <xdr:col>5</xdr:col>
          <xdr:colOff>600075</xdr:colOff>
          <xdr:row>30</xdr:row>
          <xdr:rowOff>85725</xdr:rowOff>
        </xdr:to>
        <xdr:sp macro="" textlink="">
          <xdr:nvSpPr>
            <xdr:cNvPr id="3088" name="Group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27</xdr:row>
          <xdr:rowOff>9525</xdr:rowOff>
        </xdr:from>
        <xdr:to>
          <xdr:col>4</xdr:col>
          <xdr:colOff>180975</xdr:colOff>
          <xdr:row>28</xdr:row>
          <xdr:rowOff>66675</xdr:rowOff>
        </xdr:to>
        <xdr:sp macro="" textlink="">
          <xdr:nvSpPr>
            <xdr:cNvPr id="3089" name="Option Butto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3- Échéance avec montants forcés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21</xdr:row>
          <xdr:rowOff>123825</xdr:rowOff>
        </xdr:from>
        <xdr:to>
          <xdr:col>4</xdr:col>
          <xdr:colOff>142875</xdr:colOff>
          <xdr:row>23</xdr:row>
          <xdr:rowOff>66675</xdr:rowOff>
        </xdr:to>
        <xdr:sp macro="" textlink="">
          <xdr:nvSpPr>
            <xdr:cNvPr id="3090" name="Spinner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13" Type="http://schemas.openxmlformats.org/officeDocument/2006/relationships/ctrlProp" Target="../ctrlProps/ctrlProp1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Feuil1">
    <x:tabColor indexed="22"/>
    <x:outlinePr summaryBelow="1" summaryRight="1"/>
  </x:sheetPr>
  <x:dimension ref="A1:W449"/>
  <x:sheetViews>
    <x:sheetView showGridLines="0" tabSelected="1" workbookViewId="0">
      <x:pane xSplit="0" ySplit="13" topLeftCell="A14" activePane="bottomLeft" state="frozenSplit"/>
      <x:selection activeCell="AE38" sqref="AE38"/>
      <x:selection pane="bottomLeft" activeCell="AE38" sqref="AE38"/>
    </x:sheetView>
  </x:sheetViews>
  <x:sheetFormatPr defaultColWidth="11.425781" defaultRowHeight="12.75" x14ac:dyDescent="0.2"/>
  <x:cols>
    <x:col min="1" max="1" width="1.855469" style="50" customWidth="1"/>
    <x:col min="2" max="2" width="11.425781" style="51" customWidth="1"/>
    <x:col min="3" max="3" width="12" style="52" customWidth="1"/>
    <x:col min="4" max="4" width="11.710938" style="50" bestFit="1" customWidth="1"/>
    <x:col min="5" max="6" width="11.425781" style="52" customWidth="1"/>
    <x:col min="7" max="7" width="2.710938" style="50" customWidth="1"/>
    <x:col min="8" max="8" width="7.710938" style="50" customWidth="1"/>
    <x:col min="9" max="9" width="5.285156" style="50" customWidth="1"/>
    <x:col min="10" max="10" width="6.285156" style="50" customWidth="1"/>
    <x:col min="11" max="11" width="11.570312" style="50" bestFit="1" customWidth="1"/>
    <x:col min="12" max="12" width="11.855469" style="50" customWidth="1"/>
    <x:col min="13" max="13" width="11.425781" style="50" customWidth="1"/>
    <x:col min="14" max="14" width="12.140625" style="50" customWidth="1"/>
    <x:col min="15" max="15" width="11.425781" style="50" customWidth="1"/>
    <x:col min="16" max="16" width="12.570312" style="50" customWidth="1"/>
    <x:col min="17" max="17" width="4.285156" style="50" customWidth="1"/>
    <x:col min="18" max="18" width="11.285156" style="58" hidden="1" customWidth="1"/>
    <x:col min="19" max="19" width="15.425781" style="59" hidden="1" customWidth="1"/>
    <x:col min="20" max="20" width="10.285156" style="50" hidden="1" customWidth="1"/>
    <x:col min="21" max="23" width="13.710938" style="50" hidden="1" customWidth="1"/>
    <x:col min="24" max="16384" width="11.425781" style="50" customWidth="1"/>
  </x:cols>
  <x:sheetData>
    <x:row r="1" spans="1:31" ht="13.5" customHeight="1" x14ac:dyDescent="0.2">
      <x:c r="D1" s="53"/>
      <x:c r="F1" s="54"/>
      <x:c r="H1" s="55"/>
      <x:c r="I1" s="55"/>
      <x:c r="J1" s="55"/>
      <x:c r="K1" s="56"/>
      <x:c r="L1" s="57"/>
      <x:c r="M1" s="53"/>
      <x:c r="N1" s="53"/>
      <x:c r="O1" s="53"/>
      <x:c r="P1" s="53"/>
      <x:c r="Q1" s="53"/>
      <x:c r="S1" s="115">
        <x:f>IF(ISERROR(Avancé!D3),2,Avancé!D3)</x:f>
      </x:c>
      <x:c r="T1" s="79">
        <x:f>IF(Periodicite="M",12)+IF(Periodicite="T",4)+IF(Periodicite="S",2)+IF(Periodicite="A",1)+IF(Periodicite="H",52)+IF(Periodicite="Q",26)+IF(Periodicite="B",24)</x:f>
      </x:c>
      <x:c r="U1" s="81" t="s">
        <x:v>0</x:v>
      </x:c>
      <x:c r="V1" s="215" t="s">
        <x:v>1</x:v>
      </x:c>
      <x:c r="W1" s="118" t="s">
        <x:v>2</x:v>
      </x:c>
    </x:row>
    <x:row r="2" spans="1:31" ht="12.75" customHeight="1" x14ac:dyDescent="0.2">
      <x:c r="B2" s="216" t="s">
        <x:v>3</x:v>
      </x:c>
      <x:c r="C2" s="217"/>
      <x:c r="D2" s="218"/>
      <x:c r="E2" s="219"/>
      <x:c r="F2" s="219"/>
      <x:c r="G2" s="218"/>
      <x:c r="H2" s="218"/>
      <x:c r="I2" s="218"/>
      <x:c r="J2" s="220"/>
      <x:c r="K2" s="221" t="s">
        <x:v>4</x:v>
      </x:c>
      <x:c r="L2" s="218"/>
      <x:c r="M2" s="222"/>
      <x:c r="N2" s="221" t="s">
        <x:v>5</x:v>
      </x:c>
      <x:c r="O2" s="223"/>
      <x:c r="P2" s="220"/>
      <x:c r="Q2" s="53"/>
      <x:c r="S2" s="115">
        <x:f>IF(ISERROR(Avancé!I9),TRUE,IF(Avancé!I9=1,TRUE,FALSE))</x:f>
      </x:c>
      <x:c r="T2" s="79">
        <x:f>T3*NbEchAn/12</x:f>
      </x:c>
      <x:c r="U2" s="81" t="s">
        <x:v>6</x:v>
      </x:c>
      <x:c r="V2" s="224">
        <x:v>2</x:v>
      </x:c>
      <x:c r="W2" s="50">
        <x:v>1</x:v>
      </x:c>
    </x:row>
    <x:row r="3" spans="1:31" x14ac:dyDescent="0.2">
      <x:c r="B3" s="225"/>
      <x:c r="C3" s="226" t="s">
        <x:v>7</x:v>
      </x:c>
      <x:c r="D3" s="227">
        <x:v>80000</x:v>
      </x:c>
      <x:c r="E3" s="226" t="s">
        <x:v>8</x:v>
      </x:c>
      <x:c r="F3" s="228">
        <x:v>15</x:v>
      </x:c>
      <x:c r="G3" s="229" t="s">
        <x:v>9</x:v>
      </x:c>
      <x:c r="H3" s="229"/>
      <x:c r="I3" s="229"/>
      <x:c r="J3" s="230"/>
      <x:c r="K3" s="231" t="s">
        <x:v>10</x:v>
      </x:c>
      <x:c r="L3" s="229"/>
      <x:c r="M3" s="232"/>
      <x:c r="N3" s="233" t="s">
        <x:v>11</x:v>
      </x:c>
      <x:c r="O3" s="234"/>
      <x:c r="P3" s="235">
        <x:f>MAX(K14:K447)</x:f>
      </x:c>
      <x:c r="Q3" s="53"/>
      <x:c r="R3" s="85"/>
      <x:c r="S3" s="115">
        <x:f>IF(ISERROR(Avancé!D17),99999,Avancé!D17)</x:f>
      </x:c>
      <x:c r="T3" s="79">
        <x:f>F3*12+F4</x:f>
      </x:c>
      <x:c r="U3" s="81" t="s">
        <x:v>12</x:v>
      </x:c>
      <x:c r="V3" s="224">
        <x:f>V2=1</x:f>
      </x:c>
      <x:c r="W3" s="50" t="s">
        <x:v>13</x:v>
      </x:c>
    </x:row>
    <x:row r="4" spans="1:31" ht="13.5" customHeight="1" x14ac:dyDescent="0.2">
      <x:c r="B4" s="225"/>
      <x:c r="C4" s="236"/>
      <x:c r="D4" s="229"/>
      <x:c r="E4" s="237" t="s">
        <x:v>14</x:v>
      </x:c>
      <x:c r="F4" s="228">
        <x:v>11</x:v>
      </x:c>
      <x:c r="G4" s="229" t="s">
        <x:v>15</x:v>
      </x:c>
      <x:c r="H4" s="229"/>
      <x:c r="I4" s="229"/>
      <x:c r="J4" s="230"/>
      <x:c r="K4" s="238" t="s">
        <x:v>16</x:v>
      </x:c>
      <x:c r="L4" s="239"/>
      <x:c r="M4" s="240"/>
      <x:c r="N4" s="233" t="s">
        <x:v>17</x:v>
      </x:c>
      <x:c r="O4" s="234"/>
      <x:c r="P4" s="230">
        <x:f>MAX(H14:H447)</x:f>
      </x:c>
      <x:c r="Q4" s="53"/>
      <x:c r="S4" s="115">
        <x:f>IF(ISERROR(Avancé!E17),99999,Avancé!E17)</x:f>
      </x:c>
      <x:c r="T4" s="83">
        <x:f>IF(TauxActuariel,((D5+1)^(1/NbEchAn))-1,D5/NbEchAn)</x:f>
      </x:c>
      <x:c r="U4" s="82" t="s">
        <x:v>18</x:v>
      </x:c>
      <x:c r="V4" s="241" t="s">
        <x:v>19</x:v>
      </x:c>
      <x:c r="W4" s="50" t="s">
        <x:v>20</x:v>
      </x:c>
    </x:row>
    <x:row r="5" spans="1:31" x14ac:dyDescent="0.2">
      <x:c r="B5" s="225"/>
      <x:c r="C5" s="226" t="s">
        <x:v>21</x:v>
      </x:c>
      <x:c r="D5" s="242">
        <x:v>0.1</x:v>
      </x:c>
      <x:c r="E5" s="236"/>
      <x:c r="F5" s="243" t="s">
        <x:v>22</x:v>
      </x:c>
      <x:c r="G5" s="244"/>
      <x:c r="H5" s="244" t="s">
        <x:v>23</x:v>
      </x:c>
      <x:c r="I5" s="244"/>
      <x:c r="J5" s="245"/>
      <x:c r="K5" s="221" t="s">
        <x:v>19</x:v>
      </x:c>
      <x:c r="L5" s="218"/>
      <x:c r="M5" s="222"/>
      <x:c r="N5" s="233" t="s">
        <x:v>24</x:v>
      </x:c>
      <x:c r="O5" s="234"/>
      <x:c r="P5" s="246">
        <x:f>SUM(M14:M447)</x:f>
      </x:c>
      <x:c r="Q5" s="53"/>
      <x:c r="S5" s="116">
        <x:f>IF(1&lt;=NoEchMaxi,
IF(ISERROR(Avancé!D37),ROUND(L15*R15,NbDeci),Avancé!D37),
0)</x:f>
      </x:c>
      <x:c r="T5" s="84">
        <x:f>0+IF(Periodicite="M",1)+IF(Periodicite="T",3)+IF(Periodicite="S",6)+IF(Periodicite="A",12)+IF(Periodicite="B",0.5)</x:f>
      </x:c>
      <x:c r="U5" s="82" t="s">
        <x:v>25</x:v>
      </x:c>
      <x:c r="V5" s="247">
        <x:v>1</x:v>
      </x:c>
      <x:c r="W5" s="50" t="s">
        <x:v>26</x:v>
      </x:c>
    </x:row>
    <x:row r="6" spans="1:31" x14ac:dyDescent="0.2">
      <x:c r="B6" s="225"/>
      <x:c r="C6" s="236"/>
      <x:c r="D6" s="229"/>
      <x:c r="E6" s="236"/>
      <x:c r="F6" s="248">
        <x:v>46128</x:v>
      </x:c>
      <x:c r="G6" s="229"/>
      <x:c r="H6" s="229"/>
      <x:c r="I6" s="229"/>
      <x:c r="J6" s="230"/>
      <x:c r="K6" s="231"/>
      <x:c r="L6" s="229"/>
      <x:c r="M6" s="230"/>
      <x:c r="N6" s="233" t="s">
        <x:v>27</x:v>
      </x:c>
      <x:c r="O6" s="234"/>
      <x:c r="P6" s="246">
        <x:f>SUM(N14:N447)-SUMIF(C14:C447,"&lt;0")</x:f>
      </x:c>
      <x:c r="Q6" s="53"/>
      <x:c r="S6" s="116">
        <x:f>IF(1&gt;NoEchMaxi,
0,
IF(ISERROR(Avancé!E37),
   IF(1&lt;=Différé,IF(DiffTotal,-INT1E,0),IF(1&gt;=NoEchRemb,L15,IF(S15-(M15*EchFIXE)&gt;L15-2,L15,S15-(M15*EchFIXE))))+C15,
   Avancé!E37))</x:f>
      </x:c>
      <x:c r="T6" s="79">
        <x:f>0+IF(Periodicite="H",7)+IF(Periodicite="Q",14)</x:f>
      </x:c>
      <x:c r="U6" s="82" t="s">
        <x:v>28</x:v>
      </x:c>
      <x:c r="V6" s="247">
        <x:f>IF(Différé&gt;0,V5=1,FALSE)</x:f>
      </x:c>
      <x:c r="W6" s="50" t="s">
        <x:v>29</x:v>
      </x:c>
    </x:row>
    <x:row r="7" spans="1:31" x14ac:dyDescent="0.2">
      <x:c r="B7" s="249"/>
      <x:c r="C7" s="236"/>
      <x:c r="D7" s="229"/>
      <x:c r="E7" s="236"/>
      <x:c r="F7" s="236"/>
      <x:c r="G7" s="229"/>
      <x:c r="H7" s="229"/>
      <x:c r="I7" s="229"/>
      <x:c r="J7" s="230"/>
      <x:c r="K7" s="231" t="s">
        <x:v>30</x:v>
      </x:c>
      <x:c r="L7" s="229"/>
      <x:c r="M7" s="250">
        <x:v>0</x:v>
      </x:c>
      <x:c r="N7" s="233" t="s">
        <x:v>31</x:v>
      </x:c>
      <x:c r="O7" s="234"/>
      <x:c r="P7" s="246">
        <x:f>SUM(O14:O447)</x:f>
      </x:c>
      <x:c r="Q7" s="53"/>
      <x:c r="S7" s="117">
        <x:f>IF(ISERROR(Avancé!C37),
IF(Ijour=0,MIN(DATE(YEAR(DebAmort),MONTH(DebAmort)-MoisD-Imois,Jour2),DATE(YEAR(DebAmort),MONTH(DebAmort)-MoisD+1-Imois,0)),DATE(YEAR(DebAmort),MONTH(DebAmort),Jour1-Ijour)),
Avancé!C37)</x:f>
      </x:c>
      <x:c r="T7" s="79">
        <x:f>DAY(DebAmort)</x:f>
      </x:c>
      <x:c r="U7" s="82" t="s">
        <x:v>32</x:v>
      </x:c>
      <x:c r="V7" s="247">
        <x:f>IF(Différé&gt;0,V5=2,FALSE)</x:f>
      </x:c>
      <x:c r="W7" s="50" t="s">
        <x:v>33</x:v>
      </x:c>
    </x:row>
    <x:row r="8" spans="1:31" ht="13.5" customHeight="1" x14ac:dyDescent="0.2">
      <x:c r="B8" s="251"/>
      <x:c r="C8" s="252">
        <x:f>IF(EchFIXE,"Montant échéance fixe :","Capital / échéance :")</x:f>
      </x:c>
      <x:c r="D8" s="253">
        <x:f>IF(OR(D5=0,NOT(EchFIXE)),ROUND(MtEmprunt/NbEch,NbDeci),ROUND(MtEmprunt*TxPer/(1-((1+TxPer)^-NbEch)),NbDeci))</x:f>
      </x:c>
      <x:c r="E8" s="254"/>
      <x:c r="F8" s="254"/>
      <x:c r="G8" s="239"/>
      <x:c r="H8" s="239"/>
      <x:c r="I8" s="239"/>
      <x:c r="J8" s="255"/>
      <x:c r="K8" s="238" t="s">
        <x:v>34</x:v>
      </x:c>
      <x:c r="L8" s="239"/>
      <x:c r="M8" s="256"/>
      <x:c r="N8" s="257" t="s">
        <x:v>35</x:v>
      </x:c>
      <x:c r="O8" s="252"/>
      <x:c r="P8" s="258">
        <x:f>SUM(P5:P7)</x:f>
      </x:c>
      <x:c r="Q8" s="53"/>
      <x:c r="T8" s="79">
        <x:f>IF(Periodicite="B",IF(T7&gt;15,MIN(T7-15,15),T7+15),T7)</x:f>
      </x:c>
      <x:c r="U8" s="82" t="s">
        <x:v>36</x:v>
      </x:c>
      <x:c r="V8" s="259">
        <x:f>M7*NbEchAn/12</x:f>
      </x:c>
      <x:c r="W8" s="50" t="s">
        <x:v>37</x:v>
      </x:c>
    </x:row>
    <x:row r="9" spans="1:31" ht="13.5" customHeight="1" x14ac:dyDescent="0.2">
      <x:c r="E9" s="181"/>
      <x:c r="F9" s="118"/>
      <x:c r="H9" s="182"/>
      <x:c r="I9" s="182"/>
      <x:c r="J9" s="182"/>
      <x:c r="T9" s="79">
        <x:f>IF(Jour2&lt;Jour1,1,0)</x:f>
      </x:c>
      <x:c r="U9" s="82" t="s">
        <x:v>38</x:v>
      </x:c>
      <x:c r="V9" s="260" t="s">
        <x:v>39</x:v>
      </x:c>
      <x:c r="W9" s="50" t="s">
        <x:v>40</x:v>
      </x:c>
    </x:row>
    <x:row r="10" spans="1:31" ht="13.5" customHeight="1" x14ac:dyDescent="0.2">
      <x:c r="B10" s="261" t="s">
        <x:v>41</x:v>
      </x:c>
      <x:c r="C10" s="262"/>
      <x:c r="D10" s="262"/>
      <x:c r="E10" s="262"/>
      <x:c r="F10" s="263"/>
      <x:c r="H10" s="264" t="s">
        <x:v>42</x:v>
      </x:c>
      <x:c r="I10" s="265"/>
      <x:c r="J10" s="265"/>
      <x:c r="K10" s="265"/>
      <x:c r="L10" s="265"/>
      <x:c r="M10" s="265"/>
      <x:c r="N10" s="265"/>
      <x:c r="O10" s="265"/>
      <x:c r="P10" s="266"/>
      <x:c r="Q10" s="0"/>
      <x:c r="R10" s="267" t="s">
        <x:v>43</x:v>
      </x:c>
      <x:c r="S10" s="268"/>
      <x:c r="V10" s="269">
        <x:f>D3</x:f>
      </x:c>
      <x:c r="W10" s="270">
        <x:f>UPPER(LEFT(INDEX(W3:W9,W2,1)))</x:f>
      </x:c>
    </x:row>
    <x:row r="11" spans="1:31" x14ac:dyDescent="0.2">
      <x:c r="B11" s="271">
        <x:f>COUNTIF(B15:B447,"&gt;0")</x:f>
      </x:c>
      <x:c r="C11" s="272">
        <x:f>COUNTIF(C15:C447,"&gt;0")+COUNTIF(C15:C447,"&lt;0")</x:f>
      </x:c>
      <x:c r="D11" s="272">
        <x:f>COUNTIF(D15:D447,"&gt;0")</x:f>
      </x:c>
      <x:c r="E11" s="272">
        <x:f>COUNTIF(E15:E447,"&gt;0")</x:f>
      </x:c>
      <x:c r="F11" s="273">
        <x:f>COUNTIF(F14:F447,"&gt;0")</x:f>
      </x:c>
      <x:c r="H11" s="274"/>
      <x:c r="I11" s="275" t="s">
        <x:v>44</x:v>
      </x:c>
      <x:c r="J11" s="276"/>
      <x:c r="K11" s="277" t="s">
        <x:v>45</x:v>
      </x:c>
      <x:c r="L11" s="278" t="s">
        <x:v>46</x:v>
      </x:c>
      <x:c r="M11" s="279" t="s">
        <x:v>47</x:v>
      </x:c>
      <x:c r="N11" s="277" t="s">
        <x:v>48</x:v>
      </x:c>
      <x:c r="O11" s="277" t="s">
        <x:v>49</x:v>
      </x:c>
      <x:c r="P11" s="280" t="s">
        <x:v>50</x:v>
      </x:c>
      <x:c r="Q11" s="0"/>
      <x:c r="R11" s="281" t="s">
        <x:v>18</x:v>
      </x:c>
      <x:c r="S11" s="282" t="s">
        <x:v>51</x:v>
      </x:c>
      <x:c r="V11" s="269">
        <x:f>INDEX(L15:L996,Différé+1,1)</x:f>
      </x:c>
    </x:row>
    <x:row r="12" spans="1:31" ht="12.75" customHeight="1" x14ac:dyDescent="0.2">
      <x:c r="B12" s="283" t="s">
        <x:v>52</x:v>
      </x:c>
      <x:c r="C12" s="284" t="s">
        <x:v>53</x:v>
      </x:c>
      <x:c r="D12" s="285" t="s">
        <x:v>54</x:v>
      </x:c>
      <x:c r="E12" s="284" t="s">
        <x:v>55</x:v>
      </x:c>
      <x:c r="F12" s="286" t="s">
        <x:v>56</x:v>
      </x:c>
      <x:c r="G12" s="60"/>
      <x:c r="H12" s="287" t="s">
        <x:v>57</x:v>
      </x:c>
      <x:c r="I12" s="288"/>
      <x:c r="J12" s="288" t="s">
        <x:v>58</x:v>
      </x:c>
      <x:c r="K12" s="289"/>
      <x:c r="L12" s="290"/>
      <x:c r="M12" s="291"/>
      <x:c r="N12" s="292"/>
      <x:c r="O12" s="292"/>
      <x:c r="P12" s="293"/>
      <x:c r="Q12" s="45"/>
      <x:c r="R12" s="294"/>
      <x:c r="S12" s="295"/>
      <x:c r="V12" s="296">
        <x:f>IF(DiffTotal,V11,V10)</x:f>
      </x:c>
    </x:row>
    <x:row r="13" spans="1:31" ht="12.75" customHeight="1" x14ac:dyDescent="0.2">
      <x:c r="A13" s="60"/>
      <x:c r="B13" s="297"/>
      <x:c r="C13" s="298"/>
      <x:c r="D13" s="299"/>
      <x:c r="E13" s="298"/>
      <x:c r="F13" s="300"/>
      <x:c r="G13" s="60"/>
      <x:c r="H13" s="301" t="s">
        <x:v>59</x:v>
      </x:c>
      <x:c r="I13" s="302"/>
      <x:c r="J13" s="303"/>
      <x:c r="K13" s="304"/>
      <x:c r="L13" s="305"/>
      <x:c r="M13" s="306"/>
      <x:c r="N13" s="307"/>
      <x:c r="O13" s="307"/>
      <x:c r="P13" s="308"/>
      <x:c r="Q13" s="45"/>
      <x:c r="R13" s="309"/>
      <x:c r="S13" s="310"/>
    </x:row>
    <x:row r="14" spans="1:31" ht="13.5" customHeight="1" s="60" customFormat="1" x14ac:dyDescent="0.2">
      <x:c r="B14" s="311"/>
      <x:c r="C14" s="312">
        <x:f>IF(M8&gt;0,-M8,-D3)</x:f>
      </x:c>
      <x:c r="D14" s="313" t="s">
        <x:v>34</x:v>
      </x:c>
      <x:c r="E14" s="313"/>
      <x:c r="F14" s="314"/>
      <x:c r="G14" s="50"/>
      <x:c r="H14" s="315">
        <x:v>0</x:v>
      </x:c>
      <x:c r="I14" s="316"/>
      <x:c r="J14" s="317">
        <x:f>IF(ISNUMBER(K14),YEAR(K14),"")</x:f>
      </x:c>
      <x:c r="K14" s="318">
        <x:f>DATDB</x:f>
      </x:c>
      <x:c r="L14" s="319">
        <x:v>0</x:v>
      </x:c>
      <x:c r="M14" s="320"/>
      <x:c r="N14" s="319">
        <x:f>C14</x:f>
      </x:c>
      <x:c r="O14" s="319">
        <x:f>F14</x:f>
      </x:c>
      <x:c r="P14" s="321">
        <x:f>SUM(M14:O14)</x:f>
      </x:c>
      <x:c r="Q14" s="45"/>
      <x:c r="R14" s="294"/>
      <x:c r="S14" s="295"/>
    </x:row>
    <x:row r="15" spans="1:31" ht="12.75" customHeight="1" s="60" customFormat="1" x14ac:dyDescent="0.2">
      <x:c r="B15" s="322"/>
      <x:c r="C15" s="323"/>
      <x:c r="D15" s="324"/>
      <x:c r="E15" s="325"/>
      <x:c r="F15" s="326"/>
      <x:c r="G15" s="50"/>
      <x:c r="H15" s="327">
        <x:f>IF(L15=0,"",H14+1)</x:f>
      </x:c>
      <x:c r="I15" s="328">
        <x:f>IF(L15&gt;0,NbEch+Différé+1-H15,"")</x:f>
      </x:c>
      <x:c r="J15" s="328">
        <x:f>IF(ISNUMBER(K15),YEAR(K15),"")</x:f>
      </x:c>
      <x:c r="K15" s="329">
        <x:f>DATE(YEAR(DebAmort),MONTH(DebAmort),DAY(DebAmort))</x:f>
      </x:c>
      <x:c r="L15" s="330">
        <x:f>L14-N14</x:f>
      </x:c>
      <x:c r="M15" s="331">
        <x:f>INT1E</x:f>
      </x:c>
      <x:c r="N15" s="330">
        <x:f>CAP1E+C15</x:f>
      </x:c>
      <x:c r="O15" s="332">
        <x:f>IF(OR(L15=0,H15&gt;NoEchMaxi),0,ROUND(FraisF+FraisV*L15,NbDeci))+F15</x:f>
      </x:c>
      <x:c r="P15" s="333">
        <x:f>SUM(M15:O15)</x:f>
      </x:c>
      <x:c r="Q15" s="0"/>
      <x:c r="R15" s="71">
        <x:f>IF(B15&gt;0,IF(TauxActuariel,((B15+1)^(1/NbEchAn))-1,B15/NbEchAn),TxPer)</x:f>
      </x:c>
      <x:c r="S15" s="70">
        <x:f>IF(E15&gt;0,E15,IF(D15&gt;0,IF(AND(EchFIXE,R15&gt;0),ROUND((L15-C15)*R15/(1-((1+R15)^-D15)),NbDeci),ROUND(L15/D15,NbDeci)),MtEch))</x:f>
      </x:c>
    </x:row>
    <x:row r="16" spans="1:31" ht="13.5" customHeight="1" s="60" customFormat="1" x14ac:dyDescent="0.2">
      <x:c r="A16" s="50"/>
      <x:c r="B16" s="334"/>
      <x:c r="C16" s="335"/>
      <x:c r="D16" s="336"/>
      <x:c r="E16" s="337"/>
      <x:c r="F16" s="338"/>
      <x:c r="G16" s="50"/>
      <x:c r="H16" s="327">
        <x:f>IF(L16=0,"",H15+1)</x:f>
      </x:c>
      <x:c r="I16" s="328">
        <x:f>IF(L16&gt;0,NbEch+Différé+1-H16,"")</x:f>
      </x:c>
      <x:c r="J16" s="339">
        <x:f>IF(ISNUMBER(K16),YEAR(K16),"")</x:f>
      </x:c>
      <x:c r="K16" s="340">
        <x:f>IF(L16=0,"",IF(Ijour=0,MIN(DATE(YEAR(DebAmort),MONTH(DebAmort)+MoisD+(H16-1)*Imois,Jour2),DATE(YEAR(DebAmort),MONTH(DebAmort)+MoisD+1+(H16-1)*Imois,0)),DATE(YEAR(DebAmort),MONTH(DebAmort),Jour1+(H16-1)*Ijour)))</x:f>
      </x:c>
      <x:c r="L16" s="341">
        <x:f>L15-N15</x:f>
      </x:c>
      <x:c r="M16" s="331">
        <x:f>IF(H16&lt;=NoEchMaxi,ROUND(L16*R16,NbDeci),0)</x:f>
      </x:c>
      <x:c r="N16" s="330">
        <x:f>IF(OR(H16&lt;=Différé,H16&gt;NoEchMaxi),IF(DiffTotal,-M16,0),IF(H16&gt;=NoEchRemb,L16,IF(S16-(M16*EchFIXE)&gt;L16-2,L16,S16-(M16*EchFIXE))))+C16</x:f>
      </x:c>
      <x:c r="O16" s="332">
        <x:f>IF(OR(L16=0,H16&gt;NoEchMaxi),0,ROUND(FraisF+FraisV*L16,NbDeci))+F16</x:f>
      </x:c>
      <x:c r="P16" s="342">
        <x:f>SUM(M16:O16)</x:f>
      </x:c>
      <x:c r="Q16" s="0"/>
      <x:c r="R16" s="71">
        <x:f>IF(B16&gt;0,IF(TauxActuariel,((B16+1)^(1/NbEchAn))-1,B16/NbEchAn),R15)</x:f>
      </x:c>
      <x:c r="S16" s="70">
        <x:f>IF(E16&gt;0,E16,IF(D16&gt;0,IF(AND(EchFIXE,R16&gt;0),ROUND((L16-C16)*R16/(1-((1+R16)^-D16)),NbDeci),ROUND(L16/D16,NbDeci)),S15))</x:f>
      </x:c>
    </x:row>
    <x:row r="17" spans="1:31" x14ac:dyDescent="0.2">
      <x:c r="B17" s="334"/>
      <x:c r="C17" s="335"/>
      <x:c r="D17" s="336"/>
      <x:c r="E17" s="337"/>
      <x:c r="F17" s="338"/>
      <x:c r="H17" s="327">
        <x:f>IF(L17=0,"",H16+1)</x:f>
      </x:c>
      <x:c r="I17" s="328">
        <x:f>IF(L17&gt;0,NbEch+Différé+1-H17,"")</x:f>
      </x:c>
      <x:c r="J17" s="339">
        <x:f>IF(ISNUMBER(K17),YEAR(K17),"")</x:f>
      </x:c>
      <x:c r="K17" s="340">
        <x:f>IF(L17=0,"",IF(Ijour=0,MIN(DATE(YEAR(DebAmort),MONTH(DebAmort)+(H17-1)*Imois,Jour1),DATE(YEAR(DebAmort),MONTH(DebAmort)+1+(H17-1)*Imois,0)),DATE(YEAR(DebAmort),MONTH(DebAmort),Jour1+(H17-1)*Ijour)))</x:f>
      </x:c>
      <x:c r="L17" s="341">
        <x:f>L16-N16</x:f>
      </x:c>
      <x:c r="M17" s="331">
        <x:f>IF(H17&lt;=NoEchMaxi,ROUND(L17*R17,NbDeci),0)</x:f>
      </x:c>
      <x:c r="N17" s="330">
        <x:f>IF(OR(H17&lt;=Différé,H17&gt;NoEchMaxi),IF(DiffTotal,-M17,0),IF(H17&gt;=NoEchRemb,L17,IF(S17-(M17*EchFIXE)&gt;L17-2,L17,S17-(M17*EchFIXE))))+C17</x:f>
      </x:c>
      <x:c r="O17" s="332">
        <x:f>IF(OR(L17=0,H17&gt;NoEchMaxi),0,ROUND(FraisF+FraisV*L17,NbDeci))+F17</x:f>
      </x:c>
      <x:c r="P17" s="342">
        <x:f>SUM(M17:O17)</x:f>
      </x:c>
      <x:c r="Q17" s="0"/>
      <x:c r="R17" s="71">
        <x:f>IF(B17&gt;0,IF(TauxActuariel,((B17+1)^(1/NbEchAn))-1,B17/NbEchAn),R16)</x:f>
      </x:c>
      <x:c r="S17" s="70">
        <x:f>IF(E17&gt;0,E17,IF(D17&gt;0,IF(AND(EchFIXE,R17&gt;0),ROUND((L17-C17)*R17/(1-((1+R17)^-D17)),NbDeci),ROUND(L17/D17,NbDeci)),S16))</x:f>
      </x:c>
    </x:row>
    <x:row r="18" spans="1:31" x14ac:dyDescent="0.2">
      <x:c r="B18" s="334"/>
      <x:c r="C18" s="335"/>
      <x:c r="D18" s="336"/>
      <x:c r="E18" s="337"/>
      <x:c r="F18" s="338"/>
      <x:c r="H18" s="327">
        <x:f>IF(L18=0,"",H17+1)</x:f>
      </x:c>
      <x:c r="I18" s="328">
        <x:f>IF(L18&gt;0,NbEch+Différé+1-H18,"")</x:f>
      </x:c>
      <x:c r="J18" s="339">
        <x:f>IF(ISNUMBER(K18),YEAR(K18),"")</x:f>
      </x:c>
      <x:c r="K18" s="340">
        <x:f>IF(L18=0,"",IF(Ijour=0,MIN(DATE(YEAR(DebAmort),MONTH(DebAmort)+MoisD+(H18-1)*Imois,Jour2),DATE(YEAR(DebAmort),MONTH(DebAmort)+MoisD+1+(H18-1)*Imois,0)),DATE(YEAR(DebAmort),MONTH(DebAmort),Jour1+(H18-1)*Ijour)))</x:f>
      </x:c>
      <x:c r="L18" s="341">
        <x:f>L17-N17</x:f>
      </x:c>
      <x:c r="M18" s="331">
        <x:f>IF(H18&lt;=NoEchMaxi,ROUND(L18*R18,NbDeci),0)</x:f>
      </x:c>
      <x:c r="N18" s="330">
        <x:f>IF(OR(H18&lt;=Différé,H18&gt;NoEchMaxi),IF(DiffTotal,-M18,0),IF(H18&gt;=NoEchRemb,L18,IF(S18-(M18*EchFIXE)&gt;L18-2,L18,S18-(M18*EchFIXE))))+C18</x:f>
      </x:c>
      <x:c r="O18" s="332">
        <x:f>IF(OR(L18=0,H18&gt;NoEchMaxi),0,ROUND(FraisF+FraisV*L18,NbDeci))+F18</x:f>
      </x:c>
      <x:c r="P18" s="342">
        <x:f>SUM(M18:O18)</x:f>
      </x:c>
      <x:c r="Q18" s="0"/>
      <x:c r="R18" s="71">
        <x:f>IF(B18&gt;0,IF(TauxActuariel,((B18+1)^(1/NbEchAn))-1,B18/NbEchAn),R17)</x:f>
      </x:c>
      <x:c r="S18" s="70">
        <x:f>IF(E18&gt;0,E18,IF(D18&gt;0,IF(AND(EchFIXE,R18&gt;0),ROUND((L18-C18)*R18/(1-((1+R18)^-D18)),NbDeci),ROUND(L18/D18,NbDeci)),S17))</x:f>
      </x:c>
    </x:row>
    <x:row r="19" spans="1:31" x14ac:dyDescent="0.2">
      <x:c r="B19" s="334"/>
      <x:c r="C19" s="335"/>
      <x:c r="D19" s="336"/>
      <x:c r="E19" s="337"/>
      <x:c r="F19" s="338"/>
      <x:c r="H19" s="327">
        <x:f>IF(L19=0,"",H18+1)</x:f>
      </x:c>
      <x:c r="I19" s="328">
        <x:f>IF(L19&gt;0,NbEch+Différé+1-H19,"")</x:f>
      </x:c>
      <x:c r="J19" s="339">
        <x:f>IF(ISNUMBER(K19),YEAR(K19),"")</x:f>
      </x:c>
      <x:c r="K19" s="340">
        <x:f>IF(L19=0,"",IF(Ijour=0,MIN(DATE(YEAR(DebAmort),MONTH(DebAmort)+(H19-1)*Imois,Jour1),DATE(YEAR(DebAmort),MONTH(DebAmort)+1+(H19-1)*Imois,0)),DATE(YEAR(DebAmort),MONTH(DebAmort),Jour1+(H19-1)*Ijour)))</x:f>
      </x:c>
      <x:c r="L19" s="341">
        <x:f>L18-N18</x:f>
      </x:c>
      <x:c r="M19" s="331">
        <x:f>IF(H19&lt;=NoEchMaxi,ROUND(L19*R19,NbDeci),0)</x:f>
      </x:c>
      <x:c r="N19" s="330">
        <x:f>IF(OR(H19&lt;=Différé,H19&gt;NoEchMaxi),IF(DiffTotal,-M19,0),IF(H19&gt;=NoEchRemb,L19,IF(S19-(M19*EchFIXE)&gt;L19-2,L19,S19-(M19*EchFIXE))))+C19</x:f>
      </x:c>
      <x:c r="O19" s="332">
        <x:f>IF(OR(L19=0,H19&gt;NoEchMaxi),0,ROUND(FraisF+FraisV*L19,NbDeci))+F19</x:f>
      </x:c>
      <x:c r="P19" s="342">
        <x:f>SUM(M19:O19)</x:f>
      </x:c>
      <x:c r="Q19" s="0"/>
      <x:c r="R19" s="71">
        <x:f>IF(B19&gt;0,IF(TauxActuariel,((B19+1)^(1/NbEchAn))-1,B19/NbEchAn),R18)</x:f>
      </x:c>
      <x:c r="S19" s="70">
        <x:f>IF(E19&gt;0,E19,IF(D19&gt;0,IF(AND(EchFIXE,R19&gt;0),ROUND((L19-C19)*R19/(1-((1+R19)^-D19)),NbDeci),ROUND(L19/D19,NbDeci)),S18))</x:f>
      </x:c>
    </x:row>
    <x:row r="20" spans="1:31" x14ac:dyDescent="0.2">
      <x:c r="B20" s="334"/>
      <x:c r="C20" s="335"/>
      <x:c r="D20" s="336"/>
      <x:c r="E20" s="337"/>
      <x:c r="F20" s="338"/>
      <x:c r="H20" s="327">
        <x:f>IF(L20=0,"",H19+1)</x:f>
      </x:c>
      <x:c r="I20" s="328">
        <x:f>IF(L20&gt;0,NbEch+Différé+1-H20,"")</x:f>
      </x:c>
      <x:c r="J20" s="339">
        <x:f>IF(ISNUMBER(K20),YEAR(K20),"")</x:f>
      </x:c>
      <x:c r="K20" s="340">
        <x:f>IF(L20=0,"",IF(Ijour=0,MIN(DATE(YEAR(DebAmort),MONTH(DebAmort)+MoisD+(H20-1)*Imois,Jour2),DATE(YEAR(DebAmort),MONTH(DebAmort)+MoisD+1+(H20-1)*Imois,0)),DATE(YEAR(DebAmort),MONTH(DebAmort),Jour1+(H20-1)*Ijour)))</x:f>
      </x:c>
      <x:c r="L20" s="341">
        <x:f>L19-N19</x:f>
      </x:c>
      <x:c r="M20" s="331">
        <x:f>IF(H20&lt;=NoEchMaxi,ROUND(L20*R20,NbDeci),0)</x:f>
      </x:c>
      <x:c r="N20" s="330">
        <x:f>IF(OR(H20&lt;=Différé,H20&gt;NoEchMaxi),IF(DiffTotal,-M20,0),IF(H20&gt;=NoEchRemb,L20,IF(S20-(M20*EchFIXE)&gt;L20-2,L20,S20-(M20*EchFIXE))))+C20</x:f>
      </x:c>
      <x:c r="O20" s="332">
        <x:f>IF(OR(L20=0,H20&gt;NoEchMaxi),0,ROUND(FraisF+FraisV*L20,NbDeci))+F20</x:f>
      </x:c>
      <x:c r="P20" s="342">
        <x:f>SUM(M20:O20)</x:f>
      </x:c>
      <x:c r="Q20" s="0"/>
      <x:c r="R20" s="71">
        <x:f>IF(B20&gt;0,IF(TauxActuariel,((B20+1)^(1/NbEchAn))-1,B20/NbEchAn),R19)</x:f>
      </x:c>
      <x:c r="S20" s="70">
        <x:f>IF(E20&gt;0,E20,IF(D20&gt;0,IF(AND(EchFIXE,R20&gt;0),ROUND((L20-C20)*R20/(1-((1+R20)^-D20)),NbDeci),ROUND(L20/D20,NbDeci)),S19))</x:f>
      </x:c>
    </x:row>
    <x:row r="21" spans="1:31" x14ac:dyDescent="0.2">
      <x:c r="B21" s="334"/>
      <x:c r="C21" s="335"/>
      <x:c r="D21" s="336"/>
      <x:c r="E21" s="337"/>
      <x:c r="F21" s="338"/>
      <x:c r="H21" s="327">
        <x:f>IF(L21=0,"",H20+1)</x:f>
      </x:c>
      <x:c r="I21" s="328">
        <x:f>IF(L21&gt;0,NbEch+Différé+1-H21,"")</x:f>
      </x:c>
      <x:c r="J21" s="339">
        <x:f>IF(ISNUMBER(K21),YEAR(K21),"")</x:f>
      </x:c>
      <x:c r="K21" s="340">
        <x:f>IF(L21=0,"",IF(Ijour=0,MIN(DATE(YEAR(DebAmort),MONTH(DebAmort)+(H21-1)*Imois,Jour1),DATE(YEAR(DebAmort),MONTH(DebAmort)+1+(H21-1)*Imois,0)),DATE(YEAR(DebAmort),MONTH(DebAmort),Jour1+(H21-1)*Ijour)))</x:f>
      </x:c>
      <x:c r="L21" s="341">
        <x:f>L20-N20</x:f>
      </x:c>
      <x:c r="M21" s="331">
        <x:f>IF(H21&lt;=NoEchMaxi,ROUND(L21*R21,NbDeci),0)</x:f>
      </x:c>
      <x:c r="N21" s="330">
        <x:f>IF(OR(H21&lt;=Différé,H21&gt;NoEchMaxi),IF(DiffTotal,-M21,0),IF(H21&gt;=NoEchRemb,L21,IF(S21-(M21*EchFIXE)&gt;L21-2,L21,S21-(M21*EchFIXE))))+C21</x:f>
      </x:c>
      <x:c r="O21" s="332">
        <x:f>IF(OR(L21=0,H21&gt;NoEchMaxi),0,ROUND(FraisF+FraisV*L21,NbDeci))+F21</x:f>
      </x:c>
      <x:c r="P21" s="342">
        <x:f>SUM(M21:O21)</x:f>
      </x:c>
      <x:c r="Q21" s="0"/>
      <x:c r="R21" s="71">
        <x:f>IF(B21&gt;0,IF(TauxActuariel,((B21+1)^(1/NbEchAn))-1,B21/NbEchAn),R20)</x:f>
      </x:c>
      <x:c r="S21" s="70">
        <x:f>IF(E21&gt;0,E21,IF(D21&gt;0,IF(AND(EchFIXE,R21&gt;0),ROUND((L21-C21)*R21/(1-((1+R21)^-D21)),NbDeci),ROUND(L21/D21,NbDeci)),S20))</x:f>
      </x:c>
    </x:row>
    <x:row r="22" spans="1:31" x14ac:dyDescent="0.2">
      <x:c r="B22" s="334"/>
      <x:c r="C22" s="335"/>
      <x:c r="D22" s="336"/>
      <x:c r="E22" s="337"/>
      <x:c r="F22" s="338"/>
      <x:c r="H22" s="327">
        <x:f>IF(L22=0,"",H21+1)</x:f>
      </x:c>
      <x:c r="I22" s="328">
        <x:f>IF(L22&gt;0,NbEch+Différé+1-H22,"")</x:f>
      </x:c>
      <x:c r="J22" s="339">
        <x:f>IF(ISNUMBER(K22),YEAR(K22),"")</x:f>
      </x:c>
      <x:c r="K22" s="340">
        <x:f>IF(L22=0,"",IF(Ijour=0,MIN(DATE(YEAR(DebAmort),MONTH(DebAmort)+MoisD+(H22-1)*Imois,Jour2),DATE(YEAR(DebAmort),MONTH(DebAmort)+MoisD+1+(H22-1)*Imois,0)),DATE(YEAR(DebAmort),MONTH(DebAmort),Jour1+(H22-1)*Ijour)))</x:f>
      </x:c>
      <x:c r="L22" s="341">
        <x:f>L21-N21</x:f>
      </x:c>
      <x:c r="M22" s="331">
        <x:f>IF(H22&lt;=NoEchMaxi,ROUND(L22*R22,NbDeci),0)</x:f>
      </x:c>
      <x:c r="N22" s="330">
        <x:f>IF(OR(H22&lt;=Différé,H22&gt;NoEchMaxi),IF(DiffTotal,-M22,0),IF(H22&gt;=NoEchRemb,L22,IF(S22-(M22*EchFIXE)&gt;L22-2,L22,S22-(M22*EchFIXE))))+C22</x:f>
      </x:c>
      <x:c r="O22" s="332">
        <x:f>IF(OR(L22=0,H22&gt;NoEchMaxi),0,ROUND(FraisF+FraisV*L22,NbDeci))+F22</x:f>
      </x:c>
      <x:c r="P22" s="342">
        <x:f>SUM(M22:O22)</x:f>
      </x:c>
      <x:c r="Q22" s="0"/>
      <x:c r="R22" s="71">
        <x:f>IF(B22&gt;0,IF(TauxActuariel,((B22+1)^(1/NbEchAn))-1,B22/NbEchAn),R21)</x:f>
      </x:c>
      <x:c r="S22" s="70">
        <x:f>IF(E22&gt;0,E22,IF(D22&gt;0,IF(AND(EchFIXE,R22&gt;0),ROUND((L22-C22)*R22/(1-((1+R22)^-D22)),NbDeci),ROUND(L22/D22,NbDeci)),S21))</x:f>
      </x:c>
    </x:row>
    <x:row r="23" spans="1:31" x14ac:dyDescent="0.2">
      <x:c r="B23" s="334"/>
      <x:c r="C23" s="335"/>
      <x:c r="D23" s="336"/>
      <x:c r="E23" s="337"/>
      <x:c r="F23" s="338"/>
      <x:c r="H23" s="327">
        <x:f>IF(L23=0,"",H22+1)</x:f>
      </x:c>
      <x:c r="I23" s="328">
        <x:f>IF(L23&gt;0,NbEch+Différé+1-H23,"")</x:f>
      </x:c>
      <x:c r="J23" s="339">
        <x:f>IF(ISNUMBER(K23),YEAR(K23),"")</x:f>
      </x:c>
      <x:c r="K23" s="340">
        <x:f>IF(L23=0,"",IF(Ijour=0,MIN(DATE(YEAR(DebAmort),MONTH(DebAmort)+(H23-1)*Imois,Jour1),DATE(YEAR(DebAmort),MONTH(DebAmort)+1+(H23-1)*Imois,0)),DATE(YEAR(DebAmort),MONTH(DebAmort),Jour1+(H23-1)*Ijour)))</x:f>
      </x:c>
      <x:c r="L23" s="341">
        <x:f>L22-N22</x:f>
      </x:c>
      <x:c r="M23" s="331">
        <x:f>IF(H23&lt;=NoEchMaxi,ROUND(L23*R23,NbDeci),0)</x:f>
      </x:c>
      <x:c r="N23" s="330">
        <x:f>IF(OR(H23&lt;=Différé,H23&gt;NoEchMaxi),IF(DiffTotal,-M23,0),IF(H23&gt;=NoEchRemb,L23,IF(S23-(M23*EchFIXE)&gt;L23-2,L23,S23-(M23*EchFIXE))))+C23</x:f>
      </x:c>
      <x:c r="O23" s="332">
        <x:f>IF(OR(L23=0,H23&gt;NoEchMaxi),0,ROUND(FraisF+FraisV*L23,NbDeci))+F23</x:f>
      </x:c>
      <x:c r="P23" s="342">
        <x:f>SUM(M23:O23)</x:f>
      </x:c>
      <x:c r="Q23" s="0"/>
      <x:c r="R23" s="71">
        <x:f>IF(B23&gt;0,IF(TauxActuariel,((B23+1)^(1/NbEchAn))-1,B23/NbEchAn),R22)</x:f>
      </x:c>
      <x:c r="S23" s="70">
        <x:f>IF(E23&gt;0,E23,IF(D23&gt;0,IF(AND(EchFIXE,R23&gt;0),ROUND((L23-C23)*R23/(1-((1+R23)^-D23)),NbDeci),ROUND(L23/D23,NbDeci)),S22))</x:f>
      </x:c>
    </x:row>
    <x:row r="24" spans="1:31" x14ac:dyDescent="0.2">
      <x:c r="B24" s="334"/>
      <x:c r="C24" s="335"/>
      <x:c r="D24" s="336"/>
      <x:c r="E24" s="337"/>
      <x:c r="F24" s="338"/>
      <x:c r="H24" s="327">
        <x:f>IF(L24=0,"",H23+1)</x:f>
      </x:c>
      <x:c r="I24" s="328">
        <x:f>IF(L24&gt;0,NbEch+Différé+1-H24,"")</x:f>
      </x:c>
      <x:c r="J24" s="339">
        <x:f>IF(ISNUMBER(K24),YEAR(K24),"")</x:f>
      </x:c>
      <x:c r="K24" s="340">
        <x:f>IF(L24=0,"",IF(Ijour=0,MIN(DATE(YEAR(DebAmort),MONTH(DebAmort)+MoisD+(H24-1)*Imois,Jour2),DATE(YEAR(DebAmort),MONTH(DebAmort)+MoisD+1+(H24-1)*Imois,0)),DATE(YEAR(DebAmort),MONTH(DebAmort),Jour1+(H24-1)*Ijour)))</x:f>
      </x:c>
      <x:c r="L24" s="341">
        <x:f>L23-N23</x:f>
      </x:c>
      <x:c r="M24" s="331">
        <x:f>IF(H24&lt;=NoEchMaxi,ROUND(L24*R24,NbDeci),0)</x:f>
      </x:c>
      <x:c r="N24" s="330">
        <x:f>IF(OR(H24&lt;=Différé,H24&gt;NoEchMaxi),IF(DiffTotal,-M24,0),IF(H24&gt;=NoEchRemb,L24,IF(S24-(M24*EchFIXE)&gt;L24-2,L24,S24-(M24*EchFIXE))))+C24</x:f>
      </x:c>
      <x:c r="O24" s="332">
        <x:f>IF(OR(L24=0,H24&gt;NoEchMaxi),0,ROUND(FraisF+FraisV*L24,NbDeci))+F24</x:f>
      </x:c>
      <x:c r="P24" s="342">
        <x:f>SUM(M24:O24)</x:f>
      </x:c>
      <x:c r="Q24" s="0"/>
      <x:c r="R24" s="71">
        <x:f>IF(B24&gt;0,IF(TauxActuariel,((B24+1)^(1/NbEchAn))-1,B24/NbEchAn),R23)</x:f>
      </x:c>
      <x:c r="S24" s="70">
        <x:f>IF(E24&gt;0,E24,IF(D24&gt;0,IF(AND(EchFIXE,R24&gt;0),ROUND((L24-C24)*R24/(1-((1+R24)^-D24)),NbDeci),ROUND(L24/D24,NbDeci)),S23))</x:f>
      </x:c>
    </x:row>
    <x:row r="25" spans="1:31" x14ac:dyDescent="0.2">
      <x:c r="B25" s="334"/>
      <x:c r="C25" s="335"/>
      <x:c r="D25" s="336"/>
      <x:c r="E25" s="337"/>
      <x:c r="F25" s="338"/>
      <x:c r="H25" s="327">
        <x:f>IF(L25=0,"",H24+1)</x:f>
      </x:c>
      <x:c r="I25" s="328">
        <x:f>IF(L25&gt;0,NbEch+Différé+1-H25,"")</x:f>
      </x:c>
      <x:c r="J25" s="339">
        <x:f>IF(ISNUMBER(K25),YEAR(K25),"")</x:f>
      </x:c>
      <x:c r="K25" s="340">
        <x:f>IF(L25=0,"",IF(Ijour=0,MIN(DATE(YEAR(DebAmort),MONTH(DebAmort)+(H25-1)*Imois,Jour1),DATE(YEAR(DebAmort),MONTH(DebAmort)+1+(H25-1)*Imois,0)),DATE(YEAR(DebAmort),MONTH(DebAmort),Jour1+(H25-1)*Ijour)))</x:f>
      </x:c>
      <x:c r="L25" s="341">
        <x:f>L24-N24</x:f>
      </x:c>
      <x:c r="M25" s="331">
        <x:f>IF(H25&lt;=NoEchMaxi,ROUND(L25*R25,NbDeci),0)</x:f>
      </x:c>
      <x:c r="N25" s="330">
        <x:f>IF(OR(H25&lt;=Différé,H25&gt;NoEchMaxi),IF(DiffTotal,-M25,0),IF(H25&gt;=NoEchRemb,L25,IF(S25-(M25*EchFIXE)&gt;L25-2,L25,S25-(M25*EchFIXE))))+C25</x:f>
      </x:c>
      <x:c r="O25" s="332">
        <x:f>IF(OR(L25=0,H25&gt;NoEchMaxi),0,ROUND(FraisF+FraisV*L25,NbDeci))+F25</x:f>
      </x:c>
      <x:c r="P25" s="342">
        <x:f>SUM(M25:O25)</x:f>
      </x:c>
      <x:c r="Q25" s="0"/>
      <x:c r="R25" s="71">
        <x:f>IF(B25&gt;0,IF(TauxActuariel,((B25+1)^(1/NbEchAn))-1,B25/NbEchAn),R24)</x:f>
      </x:c>
      <x:c r="S25" s="70">
        <x:f>IF(E25&gt;0,E25,IF(D25&gt;0,IF(AND(EchFIXE,R25&gt;0),ROUND((L25-C25)*R25/(1-((1+R25)^-D25)),NbDeci),ROUND(L25/D25,NbDeci)),S24))</x:f>
      </x:c>
    </x:row>
    <x:row r="26" spans="1:31" x14ac:dyDescent="0.2">
      <x:c r="B26" s="334"/>
      <x:c r="C26" s="335"/>
      <x:c r="D26" s="336"/>
      <x:c r="E26" s="337"/>
      <x:c r="F26" s="338"/>
      <x:c r="H26" s="327">
        <x:f>IF(L26=0,"",H25+1)</x:f>
      </x:c>
      <x:c r="I26" s="328">
        <x:f>IF(L26&gt;0,NbEch+Différé+1-H26,"")</x:f>
      </x:c>
      <x:c r="J26" s="339">
        <x:f>IF(ISNUMBER(K26),YEAR(K26),"")</x:f>
      </x:c>
      <x:c r="K26" s="340">
        <x:f>IF(L26=0,"",IF(Ijour=0,MIN(DATE(YEAR(DebAmort),MONTH(DebAmort)+MoisD+(H26-1)*Imois,Jour2),DATE(YEAR(DebAmort),MONTH(DebAmort)+MoisD+1+(H26-1)*Imois,0)),DATE(YEAR(DebAmort),MONTH(DebAmort),Jour1+(H26-1)*Ijour)))</x:f>
      </x:c>
      <x:c r="L26" s="341">
        <x:f>L25-N25</x:f>
      </x:c>
      <x:c r="M26" s="331">
        <x:f>IF(H26&lt;=NoEchMaxi,ROUND(L26*R26,NbDeci),0)</x:f>
      </x:c>
      <x:c r="N26" s="330">
        <x:f>IF(OR(H26&lt;=Différé,H26&gt;NoEchMaxi),IF(DiffTotal,-M26,0),IF(H26&gt;=NoEchRemb,L26,IF(S26-(M26*EchFIXE)&gt;L26-2,L26,S26-(M26*EchFIXE))))+C26</x:f>
      </x:c>
      <x:c r="O26" s="332">
        <x:f>IF(OR(L26=0,H26&gt;NoEchMaxi),0,ROUND(FraisF+FraisV*L26,NbDeci))+F26</x:f>
      </x:c>
      <x:c r="P26" s="342">
        <x:f>SUM(M26:O26)</x:f>
      </x:c>
      <x:c r="Q26" s="0"/>
      <x:c r="R26" s="71">
        <x:f>IF(B26&gt;0,IF(TauxActuariel,((B26+1)^(1/NbEchAn))-1,B26/NbEchAn),R25)</x:f>
      </x:c>
      <x:c r="S26" s="70">
        <x:f>IF(E26&gt;0,E26,IF(D26&gt;0,IF(AND(EchFIXE,R26&gt;0),ROUND((L26-C26)*R26/(1-((1+R26)^-D26)),NbDeci),ROUND(L26/D26,NbDeci)),S25))</x:f>
      </x:c>
    </x:row>
    <x:row r="27" spans="1:31" x14ac:dyDescent="0.2">
      <x:c r="B27" s="334"/>
      <x:c r="C27" s="335"/>
      <x:c r="D27" s="336"/>
      <x:c r="E27" s="337"/>
      <x:c r="F27" s="338"/>
      <x:c r="H27" s="327">
        <x:f>IF(L27=0,"",H26+1)</x:f>
      </x:c>
      <x:c r="I27" s="328">
        <x:f>IF(L27&gt;0,NbEch+Différé+1-H27,"")</x:f>
      </x:c>
      <x:c r="J27" s="339">
        <x:f>IF(ISNUMBER(K27),YEAR(K27),"")</x:f>
      </x:c>
      <x:c r="K27" s="340">
        <x:f>IF(L27=0,"",IF(Ijour=0,MIN(DATE(YEAR(DebAmort),MONTH(DebAmort)+(H27-1)*Imois,Jour1),DATE(YEAR(DebAmort),MONTH(DebAmort)+1+(H27-1)*Imois,0)),DATE(YEAR(DebAmort),MONTH(DebAmort),Jour1+(H27-1)*Ijour)))</x:f>
      </x:c>
      <x:c r="L27" s="341">
        <x:f>L26-N26</x:f>
      </x:c>
      <x:c r="M27" s="331">
        <x:f>IF(H27&lt;=NoEchMaxi,ROUND(L27*R27,NbDeci),0)</x:f>
      </x:c>
      <x:c r="N27" s="330">
        <x:f>IF(OR(H27&lt;=Différé,H27&gt;NoEchMaxi),IF(DiffTotal,-M27,0),IF(H27&gt;=NoEchRemb,L27,IF(S27-(M27*EchFIXE)&gt;L27-2,L27,S27-(M27*EchFIXE))))+C27</x:f>
      </x:c>
      <x:c r="O27" s="332">
        <x:f>IF(OR(L27=0,H27&gt;NoEchMaxi),0,ROUND(FraisF+FraisV*L27,NbDeci))+F27</x:f>
      </x:c>
      <x:c r="P27" s="342">
        <x:f>SUM(M27:O27)</x:f>
      </x:c>
      <x:c r="Q27" s="0"/>
      <x:c r="R27" s="71">
        <x:f>IF(B27&gt;0,IF(TauxActuariel,((B27+1)^(1/NbEchAn))-1,B27/NbEchAn),R26)</x:f>
      </x:c>
      <x:c r="S27" s="70">
        <x:f>IF(E27&gt;0,E27,IF(D27&gt;0,IF(AND(EchFIXE,R27&gt;0),ROUND((L27-C27)*R27/(1-((1+R27)^-D27)),NbDeci),ROUND(L27/D27,NbDeci)),S26))</x:f>
      </x:c>
    </x:row>
    <x:row r="28" spans="1:31" x14ac:dyDescent="0.2">
      <x:c r="B28" s="334"/>
      <x:c r="C28" s="335"/>
      <x:c r="D28" s="336"/>
      <x:c r="E28" s="337"/>
      <x:c r="F28" s="338"/>
      <x:c r="H28" s="327">
        <x:f>IF(L28=0,"",H27+1)</x:f>
      </x:c>
      <x:c r="I28" s="328">
        <x:f>IF(L28&gt;0,NbEch+Différé+1-H28,"")</x:f>
      </x:c>
      <x:c r="J28" s="339">
        <x:f>IF(ISNUMBER(K28),YEAR(K28),"")</x:f>
      </x:c>
      <x:c r="K28" s="340">
        <x:f>IF(L28=0,"",IF(Ijour=0,MIN(DATE(YEAR(DebAmort),MONTH(DebAmort)+MoisD+(H28-1)*Imois,Jour2),DATE(YEAR(DebAmort),MONTH(DebAmort)+MoisD+1+(H28-1)*Imois,0)),DATE(YEAR(DebAmort),MONTH(DebAmort),Jour1+(H28-1)*Ijour)))</x:f>
      </x:c>
      <x:c r="L28" s="341">
        <x:f>L27-N27</x:f>
      </x:c>
      <x:c r="M28" s="331">
        <x:f>IF(H28&lt;=NoEchMaxi,ROUND(L28*R28,NbDeci),0)</x:f>
      </x:c>
      <x:c r="N28" s="330">
        <x:f>IF(OR(H28&lt;=Différé,H28&gt;NoEchMaxi),IF(DiffTotal,-M28,0),IF(H28&gt;=NoEchRemb,L28,IF(S28-(M28*EchFIXE)&gt;L28-2,L28,S28-(M28*EchFIXE))))+C28</x:f>
      </x:c>
      <x:c r="O28" s="332">
        <x:f>IF(OR(L28=0,H28&gt;NoEchMaxi),0,ROUND(FraisF+FraisV*L28,NbDeci))+F28</x:f>
      </x:c>
      <x:c r="P28" s="342">
        <x:f>SUM(M28:O28)</x:f>
      </x:c>
      <x:c r="Q28" s="0"/>
      <x:c r="R28" s="71">
        <x:f>IF(B28&gt;0,IF(TauxActuariel,((B28+1)^(1/NbEchAn))-1,B28/NbEchAn),R27)</x:f>
      </x:c>
      <x:c r="S28" s="70">
        <x:f>IF(E28&gt;0,E28,IF(D28&gt;0,IF(AND(EchFIXE,R28&gt;0),ROUND((L28-C28)*R28/(1-((1+R28)^-D28)),NbDeci),ROUND(L28/D28,NbDeci)),S27))</x:f>
      </x:c>
    </x:row>
    <x:row r="29" spans="1:31" x14ac:dyDescent="0.2">
      <x:c r="B29" s="334"/>
      <x:c r="C29" s="335"/>
      <x:c r="D29" s="336"/>
      <x:c r="E29" s="337"/>
      <x:c r="F29" s="338"/>
      <x:c r="H29" s="327">
        <x:f>IF(L29=0,"",H28+1)</x:f>
      </x:c>
      <x:c r="I29" s="328">
        <x:f>IF(L29&gt;0,NbEch+Différé+1-H29,"")</x:f>
      </x:c>
      <x:c r="J29" s="339">
        <x:f>IF(ISNUMBER(K29),YEAR(K29),"")</x:f>
      </x:c>
      <x:c r="K29" s="340">
        <x:f>IF(L29=0,"",IF(Ijour=0,MIN(DATE(YEAR(DebAmort),MONTH(DebAmort)+(H29-1)*Imois,Jour1),DATE(YEAR(DebAmort),MONTH(DebAmort)+1+(H29-1)*Imois,0)),DATE(YEAR(DebAmort),MONTH(DebAmort),Jour1+(H29-1)*Ijour)))</x:f>
      </x:c>
      <x:c r="L29" s="341">
        <x:f>L28-N28</x:f>
      </x:c>
      <x:c r="M29" s="331">
        <x:f>IF(H29&lt;=NoEchMaxi,ROUND(L29*R29,NbDeci),0)</x:f>
      </x:c>
      <x:c r="N29" s="330">
        <x:f>IF(OR(H29&lt;=Différé,H29&gt;NoEchMaxi),IF(DiffTotal,-M29,0),IF(H29&gt;=NoEchRemb,L29,IF(S29-(M29*EchFIXE)&gt;L29-2,L29,S29-(M29*EchFIXE))))+C29</x:f>
      </x:c>
      <x:c r="O29" s="332">
        <x:f>IF(OR(L29=0,H29&gt;NoEchMaxi),0,ROUND(FraisF+FraisV*L29,NbDeci))+F29</x:f>
      </x:c>
      <x:c r="P29" s="342">
        <x:f>SUM(M29:O29)</x:f>
      </x:c>
      <x:c r="Q29" s="0"/>
      <x:c r="R29" s="71">
        <x:f>IF(B29&gt;0,IF(TauxActuariel,((B29+1)^(1/NbEchAn))-1,B29/NbEchAn),R28)</x:f>
      </x:c>
      <x:c r="S29" s="70">
        <x:f>IF(E29&gt;0,E29,IF(D29&gt;0,IF(AND(EchFIXE,R29&gt;0),ROUND((L29-C29)*R29/(1-((1+R29)^-D29)),NbDeci),ROUND(L29/D29,NbDeci)),S28))</x:f>
      </x:c>
    </x:row>
    <x:row r="30" spans="1:31" x14ac:dyDescent="0.2">
      <x:c r="B30" s="334"/>
      <x:c r="C30" s="335"/>
      <x:c r="D30" s="336"/>
      <x:c r="E30" s="337"/>
      <x:c r="F30" s="338"/>
      <x:c r="H30" s="327">
        <x:f>IF(L30=0,"",H29+1)</x:f>
      </x:c>
      <x:c r="I30" s="328">
        <x:f>IF(L30&gt;0,NbEch+Différé+1-H30,"")</x:f>
      </x:c>
      <x:c r="J30" s="339">
        <x:f>IF(ISNUMBER(K30),YEAR(K30),"")</x:f>
      </x:c>
      <x:c r="K30" s="340">
        <x:f>IF(L30=0,"",IF(Ijour=0,MIN(DATE(YEAR(DebAmort),MONTH(DebAmort)+MoisD+(H30-1)*Imois,Jour2),DATE(YEAR(DebAmort),MONTH(DebAmort)+MoisD+1+(H30-1)*Imois,0)),DATE(YEAR(DebAmort),MONTH(DebAmort),Jour1+(H30-1)*Ijour)))</x:f>
      </x:c>
      <x:c r="L30" s="341">
        <x:f>L29-N29</x:f>
      </x:c>
      <x:c r="M30" s="331">
        <x:f>IF(H30&lt;=NoEchMaxi,ROUND(L30*R30,NbDeci),0)</x:f>
      </x:c>
      <x:c r="N30" s="330">
        <x:f>IF(OR(H30&lt;=Différé,H30&gt;NoEchMaxi),IF(DiffTotal,-M30,0),IF(H30&gt;=NoEchRemb,L30,IF(S30-(M30*EchFIXE)&gt;L30-2,L30,S30-(M30*EchFIXE))))+C30</x:f>
      </x:c>
      <x:c r="O30" s="332">
        <x:f>IF(OR(L30=0,H30&gt;NoEchMaxi),0,ROUND(FraisF+FraisV*L30,NbDeci))+F30</x:f>
      </x:c>
      <x:c r="P30" s="342">
        <x:f>SUM(M30:O30)</x:f>
      </x:c>
      <x:c r="Q30" s="0"/>
      <x:c r="R30" s="71">
        <x:f>IF(B30&gt;0,IF(TauxActuariel,((B30+1)^(1/NbEchAn))-1,B30/NbEchAn),R29)</x:f>
      </x:c>
      <x:c r="S30" s="70">
        <x:f>IF(E30&gt;0,E30,IF(D30&gt;0,IF(AND(EchFIXE,R30&gt;0),ROUND((L30-C30)*R30/(1-((1+R30)^-D30)),NbDeci),ROUND(L30/D30,NbDeci)),S29))</x:f>
      </x:c>
    </x:row>
    <x:row r="31" spans="1:31" x14ac:dyDescent="0.2">
      <x:c r="B31" s="334"/>
      <x:c r="C31" s="335"/>
      <x:c r="D31" s="336"/>
      <x:c r="E31" s="337"/>
      <x:c r="F31" s="338"/>
      <x:c r="H31" s="327">
        <x:f>IF(L31=0,"",H30+1)</x:f>
      </x:c>
      <x:c r="I31" s="328">
        <x:f>IF(L31&gt;0,NbEch+Différé+1-H31,"")</x:f>
      </x:c>
      <x:c r="J31" s="339">
        <x:f>IF(ISNUMBER(K31),YEAR(K31),"")</x:f>
      </x:c>
      <x:c r="K31" s="340">
        <x:f>IF(L31=0,"",IF(Ijour=0,MIN(DATE(YEAR(DebAmort),MONTH(DebAmort)+(H31-1)*Imois,Jour1),DATE(YEAR(DebAmort),MONTH(DebAmort)+1+(H31-1)*Imois,0)),DATE(YEAR(DebAmort),MONTH(DebAmort),Jour1+(H31-1)*Ijour)))</x:f>
      </x:c>
      <x:c r="L31" s="341">
        <x:f>L30-N30</x:f>
      </x:c>
      <x:c r="M31" s="331">
        <x:f>IF(H31&lt;=NoEchMaxi,ROUND(L31*R31,NbDeci),0)</x:f>
      </x:c>
      <x:c r="N31" s="330">
        <x:f>IF(OR(H31&lt;=Différé,H31&gt;NoEchMaxi),IF(DiffTotal,-M31,0),IF(H31&gt;=NoEchRemb,L31,IF(S31-(M31*EchFIXE)&gt;L31-2,L31,S31-(M31*EchFIXE))))+C31</x:f>
      </x:c>
      <x:c r="O31" s="332">
        <x:f>IF(OR(L31=0,H31&gt;NoEchMaxi),0,ROUND(FraisF+FraisV*L31,NbDeci))+F31</x:f>
      </x:c>
      <x:c r="P31" s="342">
        <x:f>SUM(M31:O31)</x:f>
      </x:c>
      <x:c r="Q31" s="0"/>
      <x:c r="R31" s="71">
        <x:f>IF(B31&gt;0,IF(TauxActuariel,((B31+1)^(1/NbEchAn))-1,B31/NbEchAn),R30)</x:f>
      </x:c>
      <x:c r="S31" s="70">
        <x:f>IF(E31&gt;0,E31,IF(D31&gt;0,IF(AND(EchFIXE,R31&gt;0),ROUND((L31-C31)*R31/(1-((1+R31)^-D31)),NbDeci),ROUND(L31/D31,NbDeci)),S30))</x:f>
      </x:c>
    </x:row>
    <x:row r="32" spans="1:31" x14ac:dyDescent="0.2">
      <x:c r="B32" s="334"/>
      <x:c r="C32" s="335"/>
      <x:c r="D32" s="336"/>
      <x:c r="E32" s="337"/>
      <x:c r="F32" s="338"/>
      <x:c r="H32" s="327">
        <x:f>IF(L32=0,"",H31+1)</x:f>
      </x:c>
      <x:c r="I32" s="328">
        <x:f>IF(L32&gt;0,NbEch+Différé+1-H32,"")</x:f>
      </x:c>
      <x:c r="J32" s="339">
        <x:f>IF(ISNUMBER(K32),YEAR(K32),"")</x:f>
      </x:c>
      <x:c r="K32" s="340">
        <x:f>IF(L32=0,"",IF(Ijour=0,MIN(DATE(YEAR(DebAmort),MONTH(DebAmort)+MoisD+(H32-1)*Imois,Jour2),DATE(YEAR(DebAmort),MONTH(DebAmort)+MoisD+1+(H32-1)*Imois,0)),DATE(YEAR(DebAmort),MONTH(DebAmort),Jour1+(H32-1)*Ijour)))</x:f>
      </x:c>
      <x:c r="L32" s="341">
        <x:f>L31-N31</x:f>
      </x:c>
      <x:c r="M32" s="331">
        <x:f>IF(H32&lt;=NoEchMaxi,ROUND(L32*R32,NbDeci),0)</x:f>
      </x:c>
      <x:c r="N32" s="330">
        <x:f>IF(OR(H32&lt;=Différé,H32&gt;NoEchMaxi),IF(DiffTotal,-M32,0),IF(H32&gt;=NoEchRemb,L32,IF(S32-(M32*EchFIXE)&gt;L32-2,L32,S32-(M32*EchFIXE))))+C32</x:f>
      </x:c>
      <x:c r="O32" s="332">
        <x:f>IF(OR(L32=0,H32&gt;NoEchMaxi),0,ROUND(FraisF+FraisV*L32,NbDeci))+F32</x:f>
      </x:c>
      <x:c r="P32" s="342">
        <x:f>SUM(M32:O32)</x:f>
      </x:c>
      <x:c r="Q32" s="0"/>
      <x:c r="R32" s="71">
        <x:f>IF(B32&gt;0,IF(TauxActuariel,((B32+1)^(1/NbEchAn))-1,B32/NbEchAn),R31)</x:f>
      </x:c>
      <x:c r="S32" s="70">
        <x:f>IF(E32&gt;0,E32,IF(D32&gt;0,IF(AND(EchFIXE,R32&gt;0),ROUND((L32-C32)*R32/(1-((1+R32)^-D32)),NbDeci),ROUND(L32/D32,NbDeci)),S31))</x:f>
      </x:c>
    </x:row>
    <x:row r="33" spans="1:31" x14ac:dyDescent="0.2">
      <x:c r="B33" s="334"/>
      <x:c r="C33" s="335"/>
      <x:c r="D33" s="336"/>
      <x:c r="E33" s="337"/>
      <x:c r="F33" s="338"/>
      <x:c r="H33" s="327">
        <x:f>IF(L33=0,"",H32+1)</x:f>
      </x:c>
      <x:c r="I33" s="328">
        <x:f>IF(L33&gt;0,NbEch+Différé+1-H33,"")</x:f>
      </x:c>
      <x:c r="J33" s="339">
        <x:f>IF(ISNUMBER(K33),YEAR(K33),"")</x:f>
      </x:c>
      <x:c r="K33" s="340">
        <x:f>IF(L33=0,"",IF(Ijour=0,MIN(DATE(YEAR(DebAmort),MONTH(DebAmort)+(H33-1)*Imois,Jour1),DATE(YEAR(DebAmort),MONTH(DebAmort)+1+(H33-1)*Imois,0)),DATE(YEAR(DebAmort),MONTH(DebAmort),Jour1+(H33-1)*Ijour)))</x:f>
      </x:c>
      <x:c r="L33" s="341">
        <x:f>L32-N32</x:f>
      </x:c>
      <x:c r="M33" s="331">
        <x:f>IF(H33&lt;=NoEchMaxi,ROUND(L33*R33,NbDeci),0)</x:f>
      </x:c>
      <x:c r="N33" s="330">
        <x:f>IF(OR(H33&lt;=Différé,H33&gt;NoEchMaxi),IF(DiffTotal,-M33,0),IF(H33&gt;=NoEchRemb,L33,IF(S33-(M33*EchFIXE)&gt;L33-2,L33,S33-(M33*EchFIXE))))+C33</x:f>
      </x:c>
      <x:c r="O33" s="332">
        <x:f>IF(OR(L33=0,H33&gt;NoEchMaxi),0,ROUND(FraisF+FraisV*L33,NbDeci))+F33</x:f>
      </x:c>
      <x:c r="P33" s="342">
        <x:f>SUM(M33:O33)</x:f>
      </x:c>
      <x:c r="Q33" s="0"/>
      <x:c r="R33" s="71">
        <x:f>IF(B33&gt;0,IF(TauxActuariel,((B33+1)^(1/NbEchAn))-1,B33/NbEchAn),R32)</x:f>
      </x:c>
      <x:c r="S33" s="70">
        <x:f>IF(E33&gt;0,E33,IF(D33&gt;0,IF(AND(EchFIXE,R33&gt;0),ROUND((L33-C33)*R33/(1-((1+R33)^-D33)),NbDeci),ROUND(L33/D33,NbDeci)),S32))</x:f>
      </x:c>
    </x:row>
    <x:row r="34" spans="1:31" x14ac:dyDescent="0.2">
      <x:c r="B34" s="334"/>
      <x:c r="C34" s="335"/>
      <x:c r="D34" s="336"/>
      <x:c r="E34" s="337"/>
      <x:c r="F34" s="338"/>
      <x:c r="H34" s="327">
        <x:f>IF(L34=0,"",H33+1)</x:f>
      </x:c>
      <x:c r="I34" s="328">
        <x:f>IF(L34&gt;0,NbEch+Différé+1-H34,"")</x:f>
      </x:c>
      <x:c r="J34" s="339">
        <x:f>IF(ISNUMBER(K34),YEAR(K34),"")</x:f>
      </x:c>
      <x:c r="K34" s="340">
        <x:f>IF(L34=0,"",IF(Ijour=0,MIN(DATE(YEAR(DebAmort),MONTH(DebAmort)+MoisD+(H34-1)*Imois,Jour2),DATE(YEAR(DebAmort),MONTH(DebAmort)+MoisD+1+(H34-1)*Imois,0)),DATE(YEAR(DebAmort),MONTH(DebAmort),Jour1+(H34-1)*Ijour)))</x:f>
      </x:c>
      <x:c r="L34" s="341">
        <x:f>L33-N33</x:f>
      </x:c>
      <x:c r="M34" s="331">
        <x:f>IF(H34&lt;=NoEchMaxi,ROUND(L34*R34,NbDeci),0)</x:f>
      </x:c>
      <x:c r="N34" s="330">
        <x:f>IF(OR(H34&lt;=Différé,H34&gt;NoEchMaxi),IF(DiffTotal,-M34,0),IF(H34&gt;=NoEchRemb,L34,IF(S34-(M34*EchFIXE)&gt;L34-2,L34,S34-(M34*EchFIXE))))+C34</x:f>
      </x:c>
      <x:c r="O34" s="332">
        <x:f>IF(OR(L34=0,H34&gt;NoEchMaxi),0,ROUND(FraisF+FraisV*L34,NbDeci))+F34</x:f>
      </x:c>
      <x:c r="P34" s="342">
        <x:f>SUM(M34:O34)</x:f>
      </x:c>
      <x:c r="Q34" s="0"/>
      <x:c r="R34" s="71">
        <x:f>IF(B34&gt;0,IF(TauxActuariel,((B34+1)^(1/NbEchAn))-1,B34/NbEchAn),R33)</x:f>
      </x:c>
      <x:c r="S34" s="70">
        <x:f>IF(E34&gt;0,E34,IF(D34&gt;0,IF(AND(EchFIXE,R34&gt;0),ROUND((L34-C34)*R34/(1-((1+R34)^-D34)),NbDeci),ROUND(L34/D34,NbDeci)),S33))</x:f>
      </x:c>
    </x:row>
    <x:row r="35" spans="1:31" x14ac:dyDescent="0.2">
      <x:c r="B35" s="334"/>
      <x:c r="C35" s="335"/>
      <x:c r="D35" s="336"/>
      <x:c r="E35" s="337"/>
      <x:c r="F35" s="338"/>
      <x:c r="H35" s="327">
        <x:f>IF(L35=0,"",H34+1)</x:f>
      </x:c>
      <x:c r="I35" s="328">
        <x:f>IF(L35&gt;0,NbEch+Différé+1-H35,"")</x:f>
      </x:c>
      <x:c r="J35" s="339">
        <x:f>IF(ISNUMBER(K35),YEAR(K35),"")</x:f>
      </x:c>
      <x:c r="K35" s="340">
        <x:f>IF(L35=0,"",IF(Ijour=0,MIN(DATE(YEAR(DebAmort),MONTH(DebAmort)+(H35-1)*Imois,Jour1),DATE(YEAR(DebAmort),MONTH(DebAmort)+1+(H35-1)*Imois,0)),DATE(YEAR(DebAmort),MONTH(DebAmort),Jour1+(H35-1)*Ijour)))</x:f>
      </x:c>
      <x:c r="L35" s="341">
        <x:f>L34-N34</x:f>
      </x:c>
      <x:c r="M35" s="331">
        <x:f>IF(H35&lt;=NoEchMaxi,ROUND(L35*R35,NbDeci),0)</x:f>
      </x:c>
      <x:c r="N35" s="330">
        <x:f>IF(OR(H35&lt;=Différé,H35&gt;NoEchMaxi),IF(DiffTotal,-M35,0),IF(H35&gt;=NoEchRemb,L35,IF(S35-(M35*EchFIXE)&gt;L35-2,L35,S35-(M35*EchFIXE))))+C35</x:f>
      </x:c>
      <x:c r="O35" s="332">
        <x:f>IF(OR(L35=0,H35&gt;NoEchMaxi),0,ROUND(FraisF+FraisV*L35,NbDeci))+F35</x:f>
      </x:c>
      <x:c r="P35" s="342">
        <x:f>SUM(M35:O35)</x:f>
      </x:c>
      <x:c r="Q35" s="0"/>
      <x:c r="R35" s="71">
        <x:f>IF(B35&gt;0,IF(TauxActuariel,((B35+1)^(1/NbEchAn))-1,B35/NbEchAn),R34)</x:f>
      </x:c>
      <x:c r="S35" s="70">
        <x:f>IF(E35&gt;0,E35,IF(D35&gt;0,IF(AND(EchFIXE,R35&gt;0),ROUND((L35-C35)*R35/(1-((1+R35)^-D35)),NbDeci),ROUND(L35/D35,NbDeci)),S34))</x:f>
      </x:c>
    </x:row>
    <x:row r="36" spans="1:31" x14ac:dyDescent="0.2">
      <x:c r="B36" s="334"/>
      <x:c r="C36" s="335"/>
      <x:c r="D36" s="336"/>
      <x:c r="E36" s="337"/>
      <x:c r="F36" s="338"/>
      <x:c r="H36" s="327">
        <x:f>IF(L36=0,"",H35+1)</x:f>
      </x:c>
      <x:c r="I36" s="328">
        <x:f>IF(L36&gt;0,NbEch+Différé+1-H36,"")</x:f>
      </x:c>
      <x:c r="J36" s="339">
        <x:f>IF(ISNUMBER(K36),YEAR(K36),"")</x:f>
      </x:c>
      <x:c r="K36" s="340">
        <x:f>IF(L36=0,"",IF(Ijour=0,MIN(DATE(YEAR(DebAmort),MONTH(DebAmort)+MoisD+(H36-1)*Imois,Jour2),DATE(YEAR(DebAmort),MONTH(DebAmort)+MoisD+1+(H36-1)*Imois,0)),DATE(YEAR(DebAmort),MONTH(DebAmort),Jour1+(H36-1)*Ijour)))</x:f>
      </x:c>
      <x:c r="L36" s="341">
        <x:f>L35-N35</x:f>
      </x:c>
      <x:c r="M36" s="331">
        <x:f>IF(H36&lt;=NoEchMaxi,ROUND(L36*R36,NbDeci),0)</x:f>
      </x:c>
      <x:c r="N36" s="330">
        <x:f>IF(OR(H36&lt;=Différé,H36&gt;NoEchMaxi),IF(DiffTotal,-M36,0),IF(H36&gt;=NoEchRemb,L36,IF(S36-(M36*EchFIXE)&gt;L36-2,L36,S36-(M36*EchFIXE))))+C36</x:f>
      </x:c>
      <x:c r="O36" s="332">
        <x:f>IF(OR(L36=0,H36&gt;NoEchMaxi),0,ROUND(FraisF+FraisV*L36,NbDeci))+F36</x:f>
      </x:c>
      <x:c r="P36" s="342">
        <x:f>SUM(M36:O36)</x:f>
      </x:c>
      <x:c r="Q36" s="0"/>
      <x:c r="R36" s="71">
        <x:f>IF(B36&gt;0,IF(TauxActuariel,((B36+1)^(1/NbEchAn))-1,B36/NbEchAn),R35)</x:f>
      </x:c>
      <x:c r="S36" s="70">
        <x:f>IF(E36&gt;0,E36,IF(D36&gt;0,IF(AND(EchFIXE,R36&gt;0),ROUND((L36-C36)*R36/(1-((1+R36)^-D36)),NbDeci),ROUND(L36/D36,NbDeci)),S35))</x:f>
      </x:c>
    </x:row>
    <x:row r="37" spans="1:31" x14ac:dyDescent="0.2">
      <x:c r="B37" s="334"/>
      <x:c r="C37" s="335"/>
      <x:c r="D37" s="336"/>
      <x:c r="E37" s="337"/>
      <x:c r="F37" s="338"/>
      <x:c r="H37" s="327">
        <x:f>IF(L37=0,"",H36+1)</x:f>
      </x:c>
      <x:c r="I37" s="328">
        <x:f>IF(L37&gt;0,NbEch+Différé+1-H37,"")</x:f>
      </x:c>
      <x:c r="J37" s="339">
        <x:f>IF(ISNUMBER(K37),YEAR(K37),"")</x:f>
      </x:c>
      <x:c r="K37" s="340">
        <x:f>IF(L37=0,"",IF(Ijour=0,MIN(DATE(YEAR(DebAmort),MONTH(DebAmort)+(H37-1)*Imois,Jour1),DATE(YEAR(DebAmort),MONTH(DebAmort)+1+(H37-1)*Imois,0)),DATE(YEAR(DebAmort),MONTH(DebAmort),Jour1+(H37-1)*Ijour)))</x:f>
      </x:c>
      <x:c r="L37" s="341">
        <x:f>L36-N36</x:f>
      </x:c>
      <x:c r="M37" s="331">
        <x:f>IF(H37&lt;=NoEchMaxi,ROUND(L37*R37,NbDeci),0)</x:f>
      </x:c>
      <x:c r="N37" s="330">
        <x:f>IF(OR(H37&lt;=Différé,H37&gt;NoEchMaxi),IF(DiffTotal,-M37,0),IF(H37&gt;=NoEchRemb,L37,IF(S37-(M37*EchFIXE)&gt;L37-2,L37,S37-(M37*EchFIXE))))+C37</x:f>
      </x:c>
      <x:c r="O37" s="332">
        <x:f>IF(OR(L37=0,H37&gt;NoEchMaxi),0,ROUND(FraisF+FraisV*L37,NbDeci))+F37</x:f>
      </x:c>
      <x:c r="P37" s="342">
        <x:f>SUM(M37:O37)</x:f>
      </x:c>
      <x:c r="Q37" s="0"/>
      <x:c r="R37" s="71">
        <x:f>IF(B37&gt;0,IF(TauxActuariel,((B37+1)^(1/NbEchAn))-1,B37/NbEchAn),R36)</x:f>
      </x:c>
      <x:c r="S37" s="70">
        <x:f>IF(E37&gt;0,E37,IF(D37&gt;0,IF(AND(EchFIXE,R37&gt;0),ROUND((L37-C37)*R37/(1-((1+R37)^-D37)),NbDeci),ROUND(L37/D37,NbDeci)),S36))</x:f>
      </x:c>
    </x:row>
    <x:row r="38" spans="1:31" x14ac:dyDescent="0.2">
      <x:c r="B38" s="334"/>
      <x:c r="C38" s="335"/>
      <x:c r="D38" s="336"/>
      <x:c r="E38" s="337"/>
      <x:c r="F38" s="338"/>
      <x:c r="H38" s="327">
        <x:f>IF(L38=0,"",H37+1)</x:f>
      </x:c>
      <x:c r="I38" s="328">
        <x:f>IF(L38&gt;0,NbEch+Différé+1-H38,"")</x:f>
      </x:c>
      <x:c r="J38" s="339">
        <x:f>IF(ISNUMBER(K38),YEAR(K38),"")</x:f>
      </x:c>
      <x:c r="K38" s="340">
        <x:f>IF(L38=0,"",IF(Ijour=0,MIN(DATE(YEAR(DebAmort),MONTH(DebAmort)+MoisD+(H38-1)*Imois,Jour2),DATE(YEAR(DebAmort),MONTH(DebAmort)+MoisD+1+(H38-1)*Imois,0)),DATE(YEAR(DebAmort),MONTH(DebAmort),Jour1+(H38-1)*Ijour)))</x:f>
      </x:c>
      <x:c r="L38" s="341">
        <x:f>L37-N37</x:f>
      </x:c>
      <x:c r="M38" s="331">
        <x:f>IF(H38&lt;=NoEchMaxi,ROUND(L38*R38,NbDeci),0)</x:f>
      </x:c>
      <x:c r="N38" s="330">
        <x:f>IF(OR(H38&lt;=Différé,H38&gt;NoEchMaxi),IF(DiffTotal,-M38,0),IF(H38&gt;=NoEchRemb,L38,IF(S38-(M38*EchFIXE)&gt;L38-2,L38,S38-(M38*EchFIXE))))+C38</x:f>
      </x:c>
      <x:c r="O38" s="332">
        <x:f>IF(OR(L38=0,H38&gt;NoEchMaxi),0,ROUND(FraisF+FraisV*L38,NbDeci))+F38</x:f>
      </x:c>
      <x:c r="P38" s="342">
        <x:f>SUM(M38:O38)</x:f>
      </x:c>
      <x:c r="Q38" s="0"/>
      <x:c r="R38" s="71">
        <x:f>IF(B38&gt;0,IF(TauxActuariel,((B38+1)^(1/NbEchAn))-1,B38/NbEchAn),R37)</x:f>
      </x:c>
      <x:c r="S38" s="70">
        <x:f>IF(E38&gt;0,E38,IF(D38&gt;0,IF(AND(EchFIXE,R38&gt;0),ROUND((L38-C38)*R38/(1-((1+R38)^-D38)),NbDeci),ROUND(L38/D38,NbDeci)),S37))</x:f>
      </x:c>
    </x:row>
    <x:row r="39" spans="1:31" x14ac:dyDescent="0.2">
      <x:c r="B39" s="334"/>
      <x:c r="C39" s="335"/>
      <x:c r="D39" s="336"/>
      <x:c r="E39" s="337"/>
      <x:c r="F39" s="338"/>
      <x:c r="H39" s="327">
        <x:f>IF(L39=0,"",H38+1)</x:f>
      </x:c>
      <x:c r="I39" s="328">
        <x:f>IF(L39&gt;0,NbEch+Différé+1-H39,"")</x:f>
      </x:c>
      <x:c r="J39" s="339">
        <x:f>IF(ISNUMBER(K39),YEAR(K39),"")</x:f>
      </x:c>
      <x:c r="K39" s="340">
        <x:f>IF(L39=0,"",IF(Ijour=0,MIN(DATE(YEAR(DebAmort),MONTH(DebAmort)+(H39-1)*Imois,Jour1),DATE(YEAR(DebAmort),MONTH(DebAmort)+1+(H39-1)*Imois,0)),DATE(YEAR(DebAmort),MONTH(DebAmort),Jour1+(H39-1)*Ijour)))</x:f>
      </x:c>
      <x:c r="L39" s="341">
        <x:f>L38-N38</x:f>
      </x:c>
      <x:c r="M39" s="331">
        <x:f>IF(H39&lt;=NoEchMaxi,ROUND(L39*R39,NbDeci),0)</x:f>
      </x:c>
      <x:c r="N39" s="330">
        <x:f>IF(OR(H39&lt;=Différé,H39&gt;NoEchMaxi),IF(DiffTotal,-M39,0),IF(H39&gt;=NoEchRemb,L39,IF(S39-(M39*EchFIXE)&gt;L39-2,L39,S39-(M39*EchFIXE))))+C39</x:f>
      </x:c>
      <x:c r="O39" s="332">
        <x:f>IF(OR(L39=0,H39&gt;NoEchMaxi),0,ROUND(FraisF+FraisV*L39,NbDeci))+F39</x:f>
      </x:c>
      <x:c r="P39" s="342">
        <x:f>SUM(M39:O39)</x:f>
      </x:c>
      <x:c r="Q39" s="0"/>
      <x:c r="R39" s="71">
        <x:f>IF(B39&gt;0,IF(TauxActuariel,((B39+1)^(1/NbEchAn))-1,B39/NbEchAn),R38)</x:f>
      </x:c>
      <x:c r="S39" s="70">
        <x:f>IF(E39&gt;0,E39,IF(D39&gt;0,IF(AND(EchFIXE,R39&gt;0),ROUND((L39-C39)*R39/(1-((1+R39)^-D39)),NbDeci),ROUND(L39/D39,NbDeci)),S38))</x:f>
      </x:c>
    </x:row>
    <x:row r="40" spans="1:31" x14ac:dyDescent="0.2">
      <x:c r="B40" s="334"/>
      <x:c r="C40" s="335"/>
      <x:c r="D40" s="336"/>
      <x:c r="E40" s="337"/>
      <x:c r="F40" s="338"/>
      <x:c r="H40" s="327">
        <x:f>IF(L40=0,"",H39+1)</x:f>
      </x:c>
      <x:c r="I40" s="328">
        <x:f>IF(L40&gt;0,NbEch+Différé+1-H40,"")</x:f>
      </x:c>
      <x:c r="J40" s="339">
        <x:f>IF(ISNUMBER(K40),YEAR(K40),"")</x:f>
      </x:c>
      <x:c r="K40" s="340">
        <x:f>IF(L40=0,"",IF(Ijour=0,MIN(DATE(YEAR(DebAmort),MONTH(DebAmort)+MoisD+(H40-1)*Imois,Jour2),DATE(YEAR(DebAmort),MONTH(DebAmort)+MoisD+1+(H40-1)*Imois,0)),DATE(YEAR(DebAmort),MONTH(DebAmort),Jour1+(H40-1)*Ijour)))</x:f>
      </x:c>
      <x:c r="L40" s="341">
        <x:f>L39-N39</x:f>
      </x:c>
      <x:c r="M40" s="331">
        <x:f>IF(H40&lt;=NoEchMaxi,ROUND(L40*R40,NbDeci),0)</x:f>
      </x:c>
      <x:c r="N40" s="330">
        <x:f>IF(OR(H40&lt;=Différé,H40&gt;NoEchMaxi),IF(DiffTotal,-M40,0),IF(H40&gt;=NoEchRemb,L40,IF(S40-(M40*EchFIXE)&gt;L40-2,L40,S40-(M40*EchFIXE))))+C40</x:f>
      </x:c>
      <x:c r="O40" s="332">
        <x:f>IF(OR(L40=0,H40&gt;NoEchMaxi),0,ROUND(FraisF+FraisV*L40,NbDeci))+F40</x:f>
      </x:c>
      <x:c r="P40" s="342">
        <x:f>SUM(M40:O40)</x:f>
      </x:c>
      <x:c r="Q40" s="0"/>
      <x:c r="R40" s="71">
        <x:f>IF(B40&gt;0,IF(TauxActuariel,((B40+1)^(1/NbEchAn))-1,B40/NbEchAn),R39)</x:f>
      </x:c>
      <x:c r="S40" s="70">
        <x:f>IF(E40&gt;0,E40,IF(D40&gt;0,IF(AND(EchFIXE,R40&gt;0),ROUND((L40-C40)*R40/(1-((1+R40)^-D40)),NbDeci),ROUND(L40/D40,NbDeci)),S39))</x:f>
      </x:c>
    </x:row>
    <x:row r="41" spans="1:31" x14ac:dyDescent="0.2">
      <x:c r="B41" s="334"/>
      <x:c r="C41" s="335"/>
      <x:c r="D41" s="336"/>
      <x:c r="E41" s="337"/>
      <x:c r="F41" s="338"/>
      <x:c r="H41" s="327">
        <x:f>IF(L41=0,"",H40+1)</x:f>
      </x:c>
      <x:c r="I41" s="328">
        <x:f>IF(L41&gt;0,NbEch+Différé+1-H41,"")</x:f>
      </x:c>
      <x:c r="J41" s="339">
        <x:f>IF(ISNUMBER(K41),YEAR(K41),"")</x:f>
      </x:c>
      <x:c r="K41" s="340">
        <x:f>IF(L41=0,"",IF(Ijour=0,MIN(DATE(YEAR(DebAmort),MONTH(DebAmort)+(H41-1)*Imois,Jour1),DATE(YEAR(DebAmort),MONTH(DebAmort)+1+(H41-1)*Imois,0)),DATE(YEAR(DebAmort),MONTH(DebAmort),Jour1+(H41-1)*Ijour)))</x:f>
      </x:c>
      <x:c r="L41" s="341">
        <x:f>L40-N40</x:f>
      </x:c>
      <x:c r="M41" s="331">
        <x:f>IF(H41&lt;=NoEchMaxi,ROUND(L41*R41,NbDeci),0)</x:f>
      </x:c>
      <x:c r="N41" s="330">
        <x:f>IF(OR(H41&lt;=Différé,H41&gt;NoEchMaxi),IF(DiffTotal,-M41,0),IF(H41&gt;=NoEchRemb,L41,IF(S41-(M41*EchFIXE)&gt;L41-2,L41,S41-(M41*EchFIXE))))+C41</x:f>
      </x:c>
      <x:c r="O41" s="332">
        <x:f>IF(OR(L41=0,H41&gt;NoEchMaxi),0,ROUND(FraisF+FraisV*L41,NbDeci))+F41</x:f>
      </x:c>
      <x:c r="P41" s="342">
        <x:f>SUM(M41:O41)</x:f>
      </x:c>
      <x:c r="Q41" s="0"/>
      <x:c r="R41" s="71">
        <x:f>IF(B41&gt;0,IF(TauxActuariel,((B41+1)^(1/NbEchAn))-1,B41/NbEchAn),R40)</x:f>
      </x:c>
      <x:c r="S41" s="70">
        <x:f>IF(E41&gt;0,E41,IF(D41&gt;0,IF(AND(EchFIXE,R41&gt;0),ROUND((L41-C41)*R41/(1-((1+R41)^-D41)),NbDeci),ROUND(L41/D41,NbDeci)),S40))</x:f>
      </x:c>
    </x:row>
    <x:row r="42" spans="1:31" x14ac:dyDescent="0.2">
      <x:c r="B42" s="334"/>
      <x:c r="C42" s="335"/>
      <x:c r="D42" s="336"/>
      <x:c r="E42" s="337"/>
      <x:c r="F42" s="338"/>
      <x:c r="H42" s="327">
        <x:f>IF(L42=0,"",H41+1)</x:f>
      </x:c>
      <x:c r="I42" s="328">
        <x:f>IF(L42&gt;0,NbEch+Différé+1-H42,"")</x:f>
      </x:c>
      <x:c r="J42" s="339">
        <x:f>IF(ISNUMBER(K42),YEAR(K42),"")</x:f>
      </x:c>
      <x:c r="K42" s="340">
        <x:f>IF(L42=0,"",IF(Ijour=0,MIN(DATE(YEAR(DebAmort),MONTH(DebAmort)+MoisD+(H42-1)*Imois,Jour2),DATE(YEAR(DebAmort),MONTH(DebAmort)+MoisD+1+(H42-1)*Imois,0)),DATE(YEAR(DebAmort),MONTH(DebAmort),Jour1+(H42-1)*Ijour)))</x:f>
      </x:c>
      <x:c r="L42" s="341">
        <x:f>L41-N41</x:f>
      </x:c>
      <x:c r="M42" s="331">
        <x:f>IF(H42&lt;=NoEchMaxi,ROUND(L42*R42,NbDeci),0)</x:f>
      </x:c>
      <x:c r="N42" s="330">
        <x:f>IF(OR(H42&lt;=Différé,H42&gt;NoEchMaxi),IF(DiffTotal,-M42,0),IF(H42&gt;=NoEchRemb,L42,IF(S42-(M42*EchFIXE)&gt;L42-2,L42,S42-(M42*EchFIXE))))+C42</x:f>
      </x:c>
      <x:c r="O42" s="332">
        <x:f>IF(OR(L42=0,H42&gt;NoEchMaxi),0,ROUND(FraisF+FraisV*L42,NbDeci))+F42</x:f>
      </x:c>
      <x:c r="P42" s="342">
        <x:f>SUM(M42:O42)</x:f>
      </x:c>
      <x:c r="Q42" s="0"/>
      <x:c r="R42" s="71">
        <x:f>IF(B42&gt;0,IF(TauxActuariel,((B42+1)^(1/NbEchAn))-1,B42/NbEchAn),R41)</x:f>
      </x:c>
      <x:c r="S42" s="70">
        <x:f>IF(E42&gt;0,E42,IF(D42&gt;0,IF(AND(EchFIXE,R42&gt;0),ROUND((L42-C42)*R42/(1-((1+R42)^-D42)),NbDeci),ROUND(L42/D42,NbDeci)),S41))</x:f>
      </x:c>
    </x:row>
    <x:row r="43" spans="1:31" x14ac:dyDescent="0.2">
      <x:c r="B43" s="334"/>
      <x:c r="C43" s="335"/>
      <x:c r="D43" s="336"/>
      <x:c r="E43" s="337"/>
      <x:c r="F43" s="338"/>
      <x:c r="H43" s="327">
        <x:f>IF(L43=0,"",H42+1)</x:f>
      </x:c>
      <x:c r="I43" s="328">
        <x:f>IF(L43&gt;0,NbEch+Différé+1-H43,"")</x:f>
      </x:c>
      <x:c r="J43" s="339">
        <x:f>IF(ISNUMBER(K43),YEAR(K43),"")</x:f>
      </x:c>
      <x:c r="K43" s="340">
        <x:f>IF(L43=0,"",IF(Ijour=0,MIN(DATE(YEAR(DebAmort),MONTH(DebAmort)+(H43-1)*Imois,Jour1),DATE(YEAR(DebAmort),MONTH(DebAmort)+1+(H43-1)*Imois,0)),DATE(YEAR(DebAmort),MONTH(DebAmort),Jour1+(H43-1)*Ijour)))</x:f>
      </x:c>
      <x:c r="L43" s="341">
        <x:f>L42-N42</x:f>
      </x:c>
      <x:c r="M43" s="331">
        <x:f>IF(H43&lt;=NoEchMaxi,ROUND(L43*R43,NbDeci),0)</x:f>
      </x:c>
      <x:c r="N43" s="330">
        <x:f>IF(OR(H43&lt;=Différé,H43&gt;NoEchMaxi),IF(DiffTotal,-M43,0),IF(H43&gt;=NoEchRemb,L43,IF(S43-(M43*EchFIXE)&gt;L43-2,L43,S43-(M43*EchFIXE))))+C43</x:f>
      </x:c>
      <x:c r="O43" s="332">
        <x:f>IF(OR(L43=0,H43&gt;NoEchMaxi),0,ROUND(FraisF+FraisV*L43,NbDeci))+F43</x:f>
      </x:c>
      <x:c r="P43" s="342">
        <x:f>SUM(M43:O43)</x:f>
      </x:c>
      <x:c r="Q43" s="0"/>
      <x:c r="R43" s="71">
        <x:f>IF(B43&gt;0,IF(TauxActuariel,((B43+1)^(1/NbEchAn))-1,B43/NbEchAn),R42)</x:f>
      </x:c>
      <x:c r="S43" s="70">
        <x:f>IF(E43&gt;0,E43,IF(D43&gt;0,IF(AND(EchFIXE,R43&gt;0),ROUND((L43-C43)*R43/(1-((1+R43)^-D43)),NbDeci),ROUND(L43/D43,NbDeci)),S42))</x:f>
      </x:c>
    </x:row>
    <x:row r="44" spans="1:31" x14ac:dyDescent="0.2">
      <x:c r="B44" s="334"/>
      <x:c r="C44" s="335"/>
      <x:c r="D44" s="336"/>
      <x:c r="E44" s="337"/>
      <x:c r="F44" s="338"/>
      <x:c r="H44" s="327">
        <x:f>IF(L44=0,"",H43+1)</x:f>
      </x:c>
      <x:c r="I44" s="328">
        <x:f>IF(L44&gt;0,NbEch+Différé+1-H44,"")</x:f>
      </x:c>
      <x:c r="J44" s="339">
        <x:f>IF(ISNUMBER(K44),YEAR(K44),"")</x:f>
      </x:c>
      <x:c r="K44" s="340">
        <x:f>IF(L44=0,"",IF(Ijour=0,MIN(DATE(YEAR(DebAmort),MONTH(DebAmort)+MoisD+(H44-1)*Imois,Jour2),DATE(YEAR(DebAmort),MONTH(DebAmort)+MoisD+1+(H44-1)*Imois,0)),DATE(YEAR(DebAmort),MONTH(DebAmort),Jour1+(H44-1)*Ijour)))</x:f>
      </x:c>
      <x:c r="L44" s="341">
        <x:f>L43-N43</x:f>
      </x:c>
      <x:c r="M44" s="331">
        <x:f>IF(H44&lt;=NoEchMaxi,ROUND(L44*R44,NbDeci),0)</x:f>
      </x:c>
      <x:c r="N44" s="330">
        <x:f>IF(OR(H44&lt;=Différé,H44&gt;NoEchMaxi),IF(DiffTotal,-M44,0),IF(H44&gt;=NoEchRemb,L44,IF(S44-(M44*EchFIXE)&gt;L44-2,L44,S44-(M44*EchFIXE))))+C44</x:f>
      </x:c>
      <x:c r="O44" s="332">
        <x:f>IF(OR(L44=0,H44&gt;NoEchMaxi),0,ROUND(FraisF+FraisV*L44,NbDeci))+F44</x:f>
      </x:c>
      <x:c r="P44" s="342">
        <x:f>SUM(M44:O44)</x:f>
      </x:c>
      <x:c r="Q44" s="0"/>
      <x:c r="R44" s="71">
        <x:f>IF(B44&gt;0,IF(TauxActuariel,((B44+1)^(1/NbEchAn))-1,B44/NbEchAn),R43)</x:f>
      </x:c>
      <x:c r="S44" s="70">
        <x:f>IF(E44&gt;0,E44,IF(D44&gt;0,IF(AND(EchFIXE,R44&gt;0),ROUND((L44-C44)*R44/(1-((1+R44)^-D44)),NbDeci),ROUND(L44/D44,NbDeci)),S43))</x:f>
      </x:c>
    </x:row>
    <x:row r="45" spans="1:31" x14ac:dyDescent="0.2">
      <x:c r="B45" s="334"/>
      <x:c r="C45" s="335"/>
      <x:c r="D45" s="336"/>
      <x:c r="E45" s="337"/>
      <x:c r="F45" s="338"/>
      <x:c r="H45" s="327">
        <x:f>IF(L45=0,"",H44+1)</x:f>
      </x:c>
      <x:c r="I45" s="328">
        <x:f>IF(L45&gt;0,NbEch+Différé+1-H45,"")</x:f>
      </x:c>
      <x:c r="J45" s="339">
        <x:f>IF(ISNUMBER(K45),YEAR(K45),"")</x:f>
      </x:c>
      <x:c r="K45" s="340">
        <x:f>IF(L45=0,"",IF(Ijour=0,MIN(DATE(YEAR(DebAmort),MONTH(DebAmort)+(H45-1)*Imois,Jour1),DATE(YEAR(DebAmort),MONTH(DebAmort)+1+(H45-1)*Imois,0)),DATE(YEAR(DebAmort),MONTH(DebAmort),Jour1+(H45-1)*Ijour)))</x:f>
      </x:c>
      <x:c r="L45" s="341">
        <x:f>L44-N44</x:f>
      </x:c>
      <x:c r="M45" s="331">
        <x:f>IF(H45&lt;=NoEchMaxi,ROUND(L45*R45,NbDeci),0)</x:f>
      </x:c>
      <x:c r="N45" s="330">
        <x:f>IF(OR(H45&lt;=Différé,H45&gt;NoEchMaxi),IF(DiffTotal,-M45,0),IF(H45&gt;=NoEchRemb,L45,IF(S45-(M45*EchFIXE)&gt;L45-2,L45,S45-(M45*EchFIXE))))+C45</x:f>
      </x:c>
      <x:c r="O45" s="332">
        <x:f>IF(OR(L45=0,H45&gt;NoEchMaxi),0,ROUND(FraisF+FraisV*L45,NbDeci))+F45</x:f>
      </x:c>
      <x:c r="P45" s="342">
        <x:f>SUM(M45:O45)</x:f>
      </x:c>
      <x:c r="Q45" s="0"/>
      <x:c r="R45" s="71">
        <x:f>IF(B45&gt;0,IF(TauxActuariel,((B45+1)^(1/NbEchAn))-1,B45/NbEchAn),R44)</x:f>
      </x:c>
      <x:c r="S45" s="70">
        <x:f>IF(E45&gt;0,E45,IF(D45&gt;0,IF(AND(EchFIXE,R45&gt;0),ROUND((L45-C45)*R45/(1-((1+R45)^-D45)),NbDeci),ROUND(L45/D45,NbDeci)),S44))</x:f>
      </x:c>
    </x:row>
    <x:row r="46" spans="1:31" x14ac:dyDescent="0.2">
      <x:c r="B46" s="334"/>
      <x:c r="C46" s="335"/>
      <x:c r="D46" s="336"/>
      <x:c r="E46" s="337"/>
      <x:c r="F46" s="338"/>
      <x:c r="H46" s="327">
        <x:f>IF(L46=0,"",H45+1)</x:f>
      </x:c>
      <x:c r="I46" s="328">
        <x:f>IF(L46&gt;0,NbEch+Différé+1-H46,"")</x:f>
      </x:c>
      <x:c r="J46" s="339">
        <x:f>IF(ISNUMBER(K46),YEAR(K46),"")</x:f>
      </x:c>
      <x:c r="K46" s="340">
        <x:f>IF(L46=0,"",IF(Ijour=0,MIN(DATE(YEAR(DebAmort),MONTH(DebAmort)+MoisD+(H46-1)*Imois,Jour2),DATE(YEAR(DebAmort),MONTH(DebAmort)+MoisD+1+(H46-1)*Imois,0)),DATE(YEAR(DebAmort),MONTH(DebAmort),Jour1+(H46-1)*Ijour)))</x:f>
      </x:c>
      <x:c r="L46" s="341">
        <x:f>L45-N45</x:f>
      </x:c>
      <x:c r="M46" s="331">
        <x:f>IF(H46&lt;=NoEchMaxi,ROUND(L46*R46,NbDeci),0)</x:f>
      </x:c>
      <x:c r="N46" s="330">
        <x:f>IF(OR(H46&lt;=Différé,H46&gt;NoEchMaxi),IF(DiffTotal,-M46,0),IF(H46&gt;=NoEchRemb,L46,IF(S46-(M46*EchFIXE)&gt;L46-2,L46,S46-(M46*EchFIXE))))+C46</x:f>
      </x:c>
      <x:c r="O46" s="332">
        <x:f>IF(OR(L46=0,H46&gt;NoEchMaxi),0,ROUND(FraisF+FraisV*L46,NbDeci))+F46</x:f>
      </x:c>
      <x:c r="P46" s="342">
        <x:f>SUM(M46:O46)</x:f>
      </x:c>
      <x:c r="Q46" s="0"/>
      <x:c r="R46" s="71">
        <x:f>IF(B46&gt;0,IF(TauxActuariel,((B46+1)^(1/NbEchAn))-1,B46/NbEchAn),R45)</x:f>
      </x:c>
      <x:c r="S46" s="70">
        <x:f>IF(E46&gt;0,E46,IF(D46&gt;0,IF(AND(EchFIXE,R46&gt;0),ROUND((L46-C46)*R46/(1-((1+R46)^-D46)),NbDeci),ROUND(L46/D46,NbDeci)),S45))</x:f>
      </x:c>
    </x:row>
    <x:row r="47" spans="1:31" x14ac:dyDescent="0.2">
      <x:c r="B47" s="334"/>
      <x:c r="C47" s="335"/>
      <x:c r="D47" s="336"/>
      <x:c r="E47" s="337"/>
      <x:c r="F47" s="338"/>
      <x:c r="H47" s="327">
        <x:f>IF(L47=0,"",H46+1)</x:f>
      </x:c>
      <x:c r="I47" s="328">
        <x:f>IF(L47&gt;0,NbEch+Différé+1-H47,"")</x:f>
      </x:c>
      <x:c r="J47" s="339">
        <x:f>IF(ISNUMBER(K47),YEAR(K47),"")</x:f>
      </x:c>
      <x:c r="K47" s="340">
        <x:f>IF(L47=0,"",IF(Ijour=0,MIN(DATE(YEAR(DebAmort),MONTH(DebAmort)+(H47-1)*Imois,Jour1),DATE(YEAR(DebAmort),MONTH(DebAmort)+1+(H47-1)*Imois,0)),DATE(YEAR(DebAmort),MONTH(DebAmort),Jour1+(H47-1)*Ijour)))</x:f>
      </x:c>
      <x:c r="L47" s="341">
        <x:f>L46-N46</x:f>
      </x:c>
      <x:c r="M47" s="331">
        <x:f>IF(H47&lt;=NoEchMaxi,ROUND(L47*R47,NbDeci),0)</x:f>
      </x:c>
      <x:c r="N47" s="330">
        <x:f>IF(OR(H47&lt;=Différé,H47&gt;NoEchMaxi),IF(DiffTotal,-M47,0),IF(H47&gt;=NoEchRemb,L47,IF(S47-(M47*EchFIXE)&gt;L47-2,L47,S47-(M47*EchFIXE))))+C47</x:f>
      </x:c>
      <x:c r="O47" s="332">
        <x:f>IF(OR(L47=0,H47&gt;NoEchMaxi),0,ROUND(FraisF+FraisV*L47,NbDeci))+F47</x:f>
      </x:c>
      <x:c r="P47" s="342">
        <x:f>SUM(M47:O47)</x:f>
      </x:c>
      <x:c r="Q47" s="0"/>
      <x:c r="R47" s="71">
        <x:f>IF(B47&gt;0,IF(TauxActuariel,((B47+1)^(1/NbEchAn))-1,B47/NbEchAn),R46)</x:f>
      </x:c>
      <x:c r="S47" s="70">
        <x:f>IF(E47&gt;0,E47,IF(D47&gt;0,IF(AND(EchFIXE,R47&gt;0),ROUND((L47-C47)*R47/(1-((1+R47)^-D47)),NbDeci),ROUND(L47/D47,NbDeci)),S46))</x:f>
      </x:c>
    </x:row>
    <x:row r="48" spans="1:31" x14ac:dyDescent="0.2">
      <x:c r="B48" s="334"/>
      <x:c r="C48" s="335"/>
      <x:c r="D48" s="336"/>
      <x:c r="E48" s="337"/>
      <x:c r="F48" s="338"/>
      <x:c r="H48" s="327">
        <x:f>IF(L48=0,"",H47+1)</x:f>
      </x:c>
      <x:c r="I48" s="328">
        <x:f>IF(L48&gt;0,NbEch+Différé+1-H48,"")</x:f>
      </x:c>
      <x:c r="J48" s="339">
        <x:f>IF(ISNUMBER(K48),YEAR(K48),"")</x:f>
      </x:c>
      <x:c r="K48" s="340">
        <x:f>IF(L48=0,"",IF(Ijour=0,MIN(DATE(YEAR(DebAmort),MONTH(DebAmort)+MoisD+(H48-1)*Imois,Jour2),DATE(YEAR(DebAmort),MONTH(DebAmort)+MoisD+1+(H48-1)*Imois,0)),DATE(YEAR(DebAmort),MONTH(DebAmort),Jour1+(H48-1)*Ijour)))</x:f>
      </x:c>
      <x:c r="L48" s="341">
        <x:f>L47-N47</x:f>
      </x:c>
      <x:c r="M48" s="331">
        <x:f>IF(H48&lt;=NoEchMaxi,ROUND(L48*R48,NbDeci),0)</x:f>
      </x:c>
      <x:c r="N48" s="330">
        <x:f>IF(OR(H48&lt;=Différé,H48&gt;NoEchMaxi),IF(DiffTotal,-M48,0),IF(H48&gt;=NoEchRemb,L48,IF(S48-(M48*EchFIXE)&gt;L48-2,L48,S48-(M48*EchFIXE))))+C48</x:f>
      </x:c>
      <x:c r="O48" s="332">
        <x:f>IF(OR(L48=0,H48&gt;NoEchMaxi),0,ROUND(FraisF+FraisV*L48,NbDeci))+F48</x:f>
      </x:c>
      <x:c r="P48" s="342">
        <x:f>SUM(M48:O48)</x:f>
      </x:c>
      <x:c r="Q48" s="0"/>
      <x:c r="R48" s="71">
        <x:f>IF(B48&gt;0,IF(TauxActuariel,((B48+1)^(1/NbEchAn))-1,B48/NbEchAn),R47)</x:f>
      </x:c>
      <x:c r="S48" s="70">
        <x:f>IF(E48&gt;0,E48,IF(D48&gt;0,IF(AND(EchFIXE,R48&gt;0),ROUND((L48-C48)*R48/(1-((1+R48)^-D48)),NbDeci),ROUND(L48/D48,NbDeci)),S47))</x:f>
      </x:c>
    </x:row>
    <x:row r="49" spans="1:31" x14ac:dyDescent="0.2">
      <x:c r="B49" s="334"/>
      <x:c r="C49" s="335"/>
      <x:c r="D49" s="336"/>
      <x:c r="E49" s="337"/>
      <x:c r="F49" s="338"/>
      <x:c r="H49" s="327">
        <x:f>IF(L49=0,"",H48+1)</x:f>
      </x:c>
      <x:c r="I49" s="328">
        <x:f>IF(L49&gt;0,NbEch+Différé+1-H49,"")</x:f>
      </x:c>
      <x:c r="J49" s="339">
        <x:f>IF(ISNUMBER(K49),YEAR(K49),"")</x:f>
      </x:c>
      <x:c r="K49" s="340">
        <x:f>IF(L49=0,"",IF(Ijour=0,MIN(DATE(YEAR(DebAmort),MONTH(DebAmort)+(H49-1)*Imois,Jour1),DATE(YEAR(DebAmort),MONTH(DebAmort)+1+(H49-1)*Imois,0)),DATE(YEAR(DebAmort),MONTH(DebAmort),Jour1+(H49-1)*Ijour)))</x:f>
      </x:c>
      <x:c r="L49" s="341">
        <x:f>L48-N48</x:f>
      </x:c>
      <x:c r="M49" s="331">
        <x:f>IF(H49&lt;=NoEchMaxi,ROUND(L49*R49,NbDeci),0)</x:f>
      </x:c>
      <x:c r="N49" s="330">
        <x:f>IF(OR(H49&lt;=Différé,H49&gt;NoEchMaxi),IF(DiffTotal,-M49,0),IF(H49&gt;=NoEchRemb,L49,IF(S49-(M49*EchFIXE)&gt;L49-2,L49,S49-(M49*EchFIXE))))+C49</x:f>
      </x:c>
      <x:c r="O49" s="332">
        <x:f>IF(OR(L49=0,H49&gt;NoEchMaxi),0,ROUND(FraisF+FraisV*L49,NbDeci))+F49</x:f>
      </x:c>
      <x:c r="P49" s="342">
        <x:f>SUM(M49:O49)</x:f>
      </x:c>
      <x:c r="Q49" s="0"/>
      <x:c r="R49" s="71">
        <x:f>IF(B49&gt;0,IF(TauxActuariel,((B49+1)^(1/NbEchAn))-1,B49/NbEchAn),R48)</x:f>
      </x:c>
      <x:c r="S49" s="70">
        <x:f>IF(E49&gt;0,E49,IF(D49&gt;0,IF(AND(EchFIXE,R49&gt;0),ROUND((L49-C49)*R49/(1-((1+R49)^-D49)),NbDeci),ROUND(L49/D49,NbDeci)),S48))</x:f>
      </x:c>
    </x:row>
    <x:row r="50" spans="1:31" x14ac:dyDescent="0.2">
      <x:c r="B50" s="334"/>
      <x:c r="C50" s="335"/>
      <x:c r="D50" s="336"/>
      <x:c r="E50" s="337"/>
      <x:c r="F50" s="338"/>
      <x:c r="H50" s="327">
        <x:f>IF(L50=0,"",H49+1)</x:f>
      </x:c>
      <x:c r="I50" s="328">
        <x:f>IF(L50&gt;0,NbEch+Différé+1-H50,"")</x:f>
      </x:c>
      <x:c r="J50" s="339">
        <x:f>IF(ISNUMBER(K50),YEAR(K50),"")</x:f>
      </x:c>
      <x:c r="K50" s="340">
        <x:f>IF(L50=0,"",IF(Ijour=0,MIN(DATE(YEAR(DebAmort),MONTH(DebAmort)+MoisD+(H50-1)*Imois,Jour2),DATE(YEAR(DebAmort),MONTH(DebAmort)+MoisD+1+(H50-1)*Imois,0)),DATE(YEAR(DebAmort),MONTH(DebAmort),Jour1+(H50-1)*Ijour)))</x:f>
      </x:c>
      <x:c r="L50" s="341">
        <x:f>L49-N49</x:f>
      </x:c>
      <x:c r="M50" s="331">
        <x:f>IF(H50&lt;=NoEchMaxi,ROUND(L50*R50,NbDeci),0)</x:f>
      </x:c>
      <x:c r="N50" s="330">
        <x:f>IF(OR(H50&lt;=Différé,H50&gt;NoEchMaxi),IF(DiffTotal,-M50,0),IF(H50&gt;=NoEchRemb,L50,IF(S50-(M50*EchFIXE)&gt;L50-2,L50,S50-(M50*EchFIXE))))+C50</x:f>
      </x:c>
      <x:c r="O50" s="332">
        <x:f>IF(OR(L50=0,H50&gt;NoEchMaxi),0,ROUND(FraisF+FraisV*L50,NbDeci))+F50</x:f>
      </x:c>
      <x:c r="P50" s="342">
        <x:f>SUM(M50:O50)</x:f>
      </x:c>
      <x:c r="Q50" s="0"/>
      <x:c r="R50" s="71">
        <x:f>IF(B50&gt;0,IF(TauxActuariel,((B50+1)^(1/NbEchAn))-1,B50/NbEchAn),R49)</x:f>
      </x:c>
      <x:c r="S50" s="70">
        <x:f>IF(E50&gt;0,E50,IF(D50&gt;0,IF(AND(EchFIXE,R50&gt;0),ROUND((L50-C50)*R50/(1-((1+R50)^-D50)),NbDeci),ROUND(L50/D50,NbDeci)),S49))</x:f>
      </x:c>
    </x:row>
    <x:row r="51" spans="1:31" x14ac:dyDescent="0.2">
      <x:c r="B51" s="334"/>
      <x:c r="C51" s="335"/>
      <x:c r="D51" s="336"/>
      <x:c r="E51" s="337"/>
      <x:c r="F51" s="338"/>
      <x:c r="H51" s="327">
        <x:f>IF(L51=0,"",H50+1)</x:f>
      </x:c>
      <x:c r="I51" s="328">
        <x:f>IF(L51&gt;0,NbEch+Différé+1-H51,"")</x:f>
      </x:c>
      <x:c r="J51" s="339">
        <x:f>IF(ISNUMBER(K51),YEAR(K51),"")</x:f>
      </x:c>
      <x:c r="K51" s="340">
        <x:f>IF(L51=0,"",IF(Ijour=0,MIN(DATE(YEAR(DebAmort),MONTH(DebAmort)+(H51-1)*Imois,Jour1),DATE(YEAR(DebAmort),MONTH(DebAmort)+1+(H51-1)*Imois,0)),DATE(YEAR(DebAmort),MONTH(DebAmort),Jour1+(H51-1)*Ijour)))</x:f>
      </x:c>
      <x:c r="L51" s="341">
        <x:f>L50-N50</x:f>
      </x:c>
      <x:c r="M51" s="331">
        <x:f>IF(H51&lt;=NoEchMaxi,ROUND(L51*R51,NbDeci),0)</x:f>
      </x:c>
      <x:c r="N51" s="330">
        <x:f>IF(OR(H51&lt;=Différé,H51&gt;NoEchMaxi),IF(DiffTotal,-M51,0),IF(H51&gt;=NoEchRemb,L51,IF(S51-(M51*EchFIXE)&gt;L51-2,L51,S51-(M51*EchFIXE))))+C51</x:f>
      </x:c>
      <x:c r="O51" s="332">
        <x:f>IF(OR(L51=0,H51&gt;NoEchMaxi),0,ROUND(FraisF+FraisV*L51,NbDeci))+F51</x:f>
      </x:c>
      <x:c r="P51" s="342">
        <x:f>SUM(M51:O51)</x:f>
      </x:c>
      <x:c r="Q51" s="0"/>
      <x:c r="R51" s="71">
        <x:f>IF(B51&gt;0,IF(TauxActuariel,((B51+1)^(1/NbEchAn))-1,B51/NbEchAn),R50)</x:f>
      </x:c>
      <x:c r="S51" s="70">
        <x:f>IF(E51&gt;0,E51,IF(D51&gt;0,IF(AND(EchFIXE,R51&gt;0),ROUND((L51-C51)*R51/(1-((1+R51)^-D51)),NbDeci),ROUND(L51/D51,NbDeci)),S50))</x:f>
      </x:c>
    </x:row>
    <x:row r="52" spans="1:31" x14ac:dyDescent="0.2">
      <x:c r="B52" s="334"/>
      <x:c r="C52" s="335"/>
      <x:c r="D52" s="336"/>
      <x:c r="E52" s="337"/>
      <x:c r="F52" s="338"/>
      <x:c r="H52" s="327">
        <x:f>IF(L52=0,"",H51+1)</x:f>
      </x:c>
      <x:c r="I52" s="328">
        <x:f>IF(L52&gt;0,NbEch+Différé+1-H52,"")</x:f>
      </x:c>
      <x:c r="J52" s="339">
        <x:f>IF(ISNUMBER(K52),YEAR(K52),"")</x:f>
      </x:c>
      <x:c r="K52" s="340">
        <x:f>IF(L52=0,"",IF(Ijour=0,MIN(DATE(YEAR(DebAmort),MONTH(DebAmort)+MoisD+(H52-1)*Imois,Jour2),DATE(YEAR(DebAmort),MONTH(DebAmort)+MoisD+1+(H52-1)*Imois,0)),DATE(YEAR(DebAmort),MONTH(DebAmort),Jour1+(H52-1)*Ijour)))</x:f>
      </x:c>
      <x:c r="L52" s="341">
        <x:f>L51-N51</x:f>
      </x:c>
      <x:c r="M52" s="331">
        <x:f>IF(H52&lt;=NoEchMaxi,ROUND(L52*R52,NbDeci),0)</x:f>
      </x:c>
      <x:c r="N52" s="330">
        <x:f>IF(OR(H52&lt;=Différé,H52&gt;NoEchMaxi),IF(DiffTotal,-M52,0),IF(H52&gt;=NoEchRemb,L52,IF(S52-(M52*EchFIXE)&gt;L52-2,L52,S52-(M52*EchFIXE))))+C52</x:f>
      </x:c>
      <x:c r="O52" s="332">
        <x:f>IF(OR(L52=0,H52&gt;NoEchMaxi),0,ROUND(FraisF+FraisV*L52,NbDeci))+F52</x:f>
      </x:c>
      <x:c r="P52" s="342">
        <x:f>SUM(M52:O52)</x:f>
      </x:c>
      <x:c r="Q52" s="0"/>
      <x:c r="R52" s="71">
        <x:f>IF(B52&gt;0,IF(TauxActuariel,((B52+1)^(1/NbEchAn))-1,B52/NbEchAn),R51)</x:f>
      </x:c>
      <x:c r="S52" s="70">
        <x:f>IF(E52&gt;0,E52,IF(D52&gt;0,IF(AND(EchFIXE,R52&gt;0),ROUND((L52-C52)*R52/(1-((1+R52)^-D52)),NbDeci),ROUND(L52/D52,NbDeci)),S51))</x:f>
      </x:c>
    </x:row>
    <x:row r="53" spans="1:31" x14ac:dyDescent="0.2">
      <x:c r="B53" s="334"/>
      <x:c r="C53" s="335"/>
      <x:c r="D53" s="336"/>
      <x:c r="E53" s="337"/>
      <x:c r="F53" s="338"/>
      <x:c r="H53" s="327">
        <x:f>IF(L53=0,"",H52+1)</x:f>
      </x:c>
      <x:c r="I53" s="328">
        <x:f>IF(L53&gt;0,NbEch+Différé+1-H53,"")</x:f>
      </x:c>
      <x:c r="J53" s="339">
        <x:f>IF(ISNUMBER(K53),YEAR(K53),"")</x:f>
      </x:c>
      <x:c r="K53" s="340">
        <x:f>IF(L53=0,"",IF(Ijour=0,MIN(DATE(YEAR(DebAmort),MONTH(DebAmort)+(H53-1)*Imois,Jour1),DATE(YEAR(DebAmort),MONTH(DebAmort)+1+(H53-1)*Imois,0)),DATE(YEAR(DebAmort),MONTH(DebAmort),Jour1+(H53-1)*Ijour)))</x:f>
      </x:c>
      <x:c r="L53" s="341">
        <x:f>L52-N52</x:f>
      </x:c>
      <x:c r="M53" s="331">
        <x:f>IF(H53&lt;=NoEchMaxi,ROUND(L53*R53,NbDeci),0)</x:f>
      </x:c>
      <x:c r="N53" s="330">
        <x:f>IF(OR(H53&lt;=Différé,H53&gt;NoEchMaxi),IF(DiffTotal,-M53,0),IF(H53&gt;=NoEchRemb,L53,IF(S53-(M53*EchFIXE)&gt;L53-2,L53,S53-(M53*EchFIXE))))+C53</x:f>
      </x:c>
      <x:c r="O53" s="332">
        <x:f>IF(OR(L53=0,H53&gt;NoEchMaxi),0,ROUND(FraisF+FraisV*L53,NbDeci))+F53</x:f>
      </x:c>
      <x:c r="P53" s="342">
        <x:f>SUM(M53:O53)</x:f>
      </x:c>
      <x:c r="Q53" s="0"/>
      <x:c r="R53" s="71">
        <x:f>IF(B53&gt;0,IF(TauxActuariel,((B53+1)^(1/NbEchAn))-1,B53/NbEchAn),R52)</x:f>
      </x:c>
      <x:c r="S53" s="70">
        <x:f>IF(E53&gt;0,E53,IF(D53&gt;0,IF(AND(EchFIXE,R53&gt;0),ROUND((L53-C53)*R53/(1-((1+R53)^-D53)),NbDeci),ROUND(L53/D53,NbDeci)),S52))</x:f>
      </x:c>
    </x:row>
    <x:row r="54" spans="1:31" x14ac:dyDescent="0.2">
      <x:c r="B54" s="334"/>
      <x:c r="C54" s="335"/>
      <x:c r="D54" s="336"/>
      <x:c r="E54" s="337"/>
      <x:c r="F54" s="338"/>
      <x:c r="H54" s="327">
        <x:f>IF(L54=0,"",H53+1)</x:f>
      </x:c>
      <x:c r="I54" s="328">
        <x:f>IF(L54&gt;0,NbEch+Différé+1-H54,"")</x:f>
      </x:c>
      <x:c r="J54" s="339">
        <x:f>IF(ISNUMBER(K54),YEAR(K54),"")</x:f>
      </x:c>
      <x:c r="K54" s="340">
        <x:f>IF(L54=0,"",IF(Ijour=0,MIN(DATE(YEAR(DebAmort),MONTH(DebAmort)+MoisD+(H54-1)*Imois,Jour2),DATE(YEAR(DebAmort),MONTH(DebAmort)+MoisD+1+(H54-1)*Imois,0)),DATE(YEAR(DebAmort),MONTH(DebAmort),Jour1+(H54-1)*Ijour)))</x:f>
      </x:c>
      <x:c r="L54" s="341">
        <x:f>L53-N53</x:f>
      </x:c>
      <x:c r="M54" s="331">
        <x:f>IF(H54&lt;=NoEchMaxi,ROUND(L54*R54,NbDeci),0)</x:f>
      </x:c>
      <x:c r="N54" s="330">
        <x:f>IF(OR(H54&lt;=Différé,H54&gt;NoEchMaxi),IF(DiffTotal,-M54,0),IF(H54&gt;=NoEchRemb,L54,IF(S54-(M54*EchFIXE)&gt;L54-2,L54,S54-(M54*EchFIXE))))+C54</x:f>
      </x:c>
      <x:c r="O54" s="332">
        <x:f>IF(OR(L54=0,H54&gt;NoEchMaxi),0,ROUND(FraisF+FraisV*L54,NbDeci))+F54</x:f>
      </x:c>
      <x:c r="P54" s="342">
        <x:f>SUM(M54:O54)</x:f>
      </x:c>
      <x:c r="Q54" s="0"/>
      <x:c r="R54" s="71">
        <x:f>IF(B54&gt;0,IF(TauxActuariel,((B54+1)^(1/NbEchAn))-1,B54/NbEchAn),R53)</x:f>
      </x:c>
      <x:c r="S54" s="70">
        <x:f>IF(E54&gt;0,E54,IF(D54&gt;0,IF(AND(EchFIXE,R54&gt;0),ROUND((L54-C54)*R54/(1-((1+R54)^-D54)),NbDeci),ROUND(L54/D54,NbDeci)),S53))</x:f>
      </x:c>
    </x:row>
    <x:row r="55" spans="1:31" x14ac:dyDescent="0.2">
      <x:c r="B55" s="334"/>
      <x:c r="C55" s="335"/>
      <x:c r="D55" s="336"/>
      <x:c r="E55" s="337"/>
      <x:c r="F55" s="338"/>
      <x:c r="H55" s="327">
        <x:f>IF(L55=0,"",H54+1)</x:f>
      </x:c>
      <x:c r="I55" s="328">
        <x:f>IF(L55&gt;0,NbEch+Différé+1-H55,"")</x:f>
      </x:c>
      <x:c r="J55" s="339">
        <x:f>IF(ISNUMBER(K55),YEAR(K55),"")</x:f>
      </x:c>
      <x:c r="K55" s="340">
        <x:f>IF(L55=0,"",IF(Ijour=0,MIN(DATE(YEAR(DebAmort),MONTH(DebAmort)+(H55-1)*Imois,Jour1),DATE(YEAR(DebAmort),MONTH(DebAmort)+1+(H55-1)*Imois,0)),DATE(YEAR(DebAmort),MONTH(DebAmort),Jour1+(H55-1)*Ijour)))</x:f>
      </x:c>
      <x:c r="L55" s="341">
        <x:f>L54-N54</x:f>
      </x:c>
      <x:c r="M55" s="331">
        <x:f>IF(H55&lt;=NoEchMaxi,ROUND(L55*R55,NbDeci),0)</x:f>
      </x:c>
      <x:c r="N55" s="330">
        <x:f>IF(OR(H55&lt;=Différé,H55&gt;NoEchMaxi),IF(DiffTotal,-M55,0),IF(H55&gt;=NoEchRemb,L55,IF(S55-(M55*EchFIXE)&gt;L55-2,L55,S55-(M55*EchFIXE))))+C55</x:f>
      </x:c>
      <x:c r="O55" s="332">
        <x:f>IF(OR(L55=0,H55&gt;NoEchMaxi),0,ROUND(FraisF+FraisV*L55,NbDeci))+F55</x:f>
      </x:c>
      <x:c r="P55" s="342">
        <x:f>SUM(M55:O55)</x:f>
      </x:c>
      <x:c r="Q55" s="0"/>
      <x:c r="R55" s="71">
        <x:f>IF(B55&gt;0,IF(TauxActuariel,((B55+1)^(1/NbEchAn))-1,B55/NbEchAn),R54)</x:f>
      </x:c>
      <x:c r="S55" s="70">
        <x:f>IF(E55&gt;0,E55,IF(D55&gt;0,IF(AND(EchFIXE,R55&gt;0),ROUND((L55-C55)*R55/(1-((1+R55)^-D55)),NbDeci),ROUND(L55/D55,NbDeci)),S54))</x:f>
      </x:c>
    </x:row>
    <x:row r="56" spans="1:31" x14ac:dyDescent="0.2">
      <x:c r="B56" s="334"/>
      <x:c r="C56" s="335"/>
      <x:c r="D56" s="336"/>
      <x:c r="E56" s="337"/>
      <x:c r="F56" s="338"/>
      <x:c r="H56" s="327">
        <x:f>IF(L56=0,"",H55+1)</x:f>
      </x:c>
      <x:c r="I56" s="328">
        <x:f>IF(L56&gt;0,NbEch+Différé+1-H56,"")</x:f>
      </x:c>
      <x:c r="J56" s="339">
        <x:f>IF(ISNUMBER(K56),YEAR(K56),"")</x:f>
      </x:c>
      <x:c r="K56" s="340">
        <x:f>IF(L56=0,"",IF(Ijour=0,MIN(DATE(YEAR(DebAmort),MONTH(DebAmort)+MoisD+(H56-1)*Imois,Jour2),DATE(YEAR(DebAmort),MONTH(DebAmort)+MoisD+1+(H56-1)*Imois,0)),DATE(YEAR(DebAmort),MONTH(DebAmort),Jour1+(H56-1)*Ijour)))</x:f>
      </x:c>
      <x:c r="L56" s="341">
        <x:f>L55-N55</x:f>
      </x:c>
      <x:c r="M56" s="331">
        <x:f>IF(H56&lt;=NoEchMaxi,ROUND(L56*R56,NbDeci),0)</x:f>
      </x:c>
      <x:c r="N56" s="330">
        <x:f>IF(OR(H56&lt;=Différé,H56&gt;NoEchMaxi),IF(DiffTotal,-M56,0),IF(H56&gt;=NoEchRemb,L56,IF(S56-(M56*EchFIXE)&gt;L56-2,L56,S56-(M56*EchFIXE))))+C56</x:f>
      </x:c>
      <x:c r="O56" s="332">
        <x:f>IF(OR(L56=0,H56&gt;NoEchMaxi),0,ROUND(FraisF+FraisV*L56,NbDeci))+F56</x:f>
      </x:c>
      <x:c r="P56" s="342">
        <x:f>SUM(M56:O56)</x:f>
      </x:c>
      <x:c r="Q56" s="0"/>
      <x:c r="R56" s="71">
        <x:f>IF(B56&gt;0,IF(TauxActuariel,((B56+1)^(1/NbEchAn))-1,B56/NbEchAn),R55)</x:f>
      </x:c>
      <x:c r="S56" s="70">
        <x:f>IF(E56&gt;0,E56,IF(D56&gt;0,IF(AND(EchFIXE,R56&gt;0),ROUND((L56-C56)*R56/(1-((1+R56)^-D56)),NbDeci),ROUND(L56/D56,NbDeci)),S55))</x:f>
      </x:c>
    </x:row>
    <x:row r="57" spans="1:31" x14ac:dyDescent="0.2">
      <x:c r="B57" s="334"/>
      <x:c r="C57" s="335"/>
      <x:c r="D57" s="336"/>
      <x:c r="E57" s="337"/>
      <x:c r="F57" s="338"/>
      <x:c r="H57" s="327">
        <x:f>IF(L57=0,"",H56+1)</x:f>
      </x:c>
      <x:c r="I57" s="328">
        <x:f>IF(L57&gt;0,NbEch+Différé+1-H57,"")</x:f>
      </x:c>
      <x:c r="J57" s="339">
        <x:f>IF(ISNUMBER(K57),YEAR(K57),"")</x:f>
      </x:c>
      <x:c r="K57" s="340">
        <x:f>IF(L57=0,"",IF(Ijour=0,MIN(DATE(YEAR(DebAmort),MONTH(DebAmort)+(H57-1)*Imois,Jour1),DATE(YEAR(DebAmort),MONTH(DebAmort)+1+(H57-1)*Imois,0)),DATE(YEAR(DebAmort),MONTH(DebAmort),Jour1+(H57-1)*Ijour)))</x:f>
      </x:c>
      <x:c r="L57" s="341">
        <x:f>L56-N56</x:f>
      </x:c>
      <x:c r="M57" s="331">
        <x:f>IF(H57&lt;=NoEchMaxi,ROUND(L57*R57,NbDeci),0)</x:f>
      </x:c>
      <x:c r="N57" s="330">
        <x:f>IF(OR(H57&lt;=Différé,H57&gt;NoEchMaxi),IF(DiffTotal,-M57,0),IF(H57&gt;=NoEchRemb,L57,IF(S57-(M57*EchFIXE)&gt;L57-2,L57,S57-(M57*EchFIXE))))+C57</x:f>
      </x:c>
      <x:c r="O57" s="332">
        <x:f>IF(OR(L57=0,H57&gt;NoEchMaxi),0,ROUND(FraisF+FraisV*L57,NbDeci))+F57</x:f>
      </x:c>
      <x:c r="P57" s="342">
        <x:f>SUM(M57:O57)</x:f>
      </x:c>
      <x:c r="Q57" s="0"/>
      <x:c r="R57" s="71">
        <x:f>IF(B57&gt;0,IF(TauxActuariel,((B57+1)^(1/NbEchAn))-1,B57/NbEchAn),R56)</x:f>
      </x:c>
      <x:c r="S57" s="70">
        <x:f>IF(E57&gt;0,E57,IF(D57&gt;0,IF(AND(EchFIXE,R57&gt;0),ROUND((L57-C57)*R57/(1-((1+R57)^-D57)),NbDeci),ROUND(L57/D57,NbDeci)),S56))</x:f>
      </x:c>
    </x:row>
    <x:row r="58" spans="1:31" x14ac:dyDescent="0.2">
      <x:c r="B58" s="334"/>
      <x:c r="C58" s="335"/>
      <x:c r="D58" s="336"/>
      <x:c r="E58" s="337"/>
      <x:c r="F58" s="338"/>
      <x:c r="H58" s="327">
        <x:f>IF(L58=0,"",H57+1)</x:f>
      </x:c>
      <x:c r="I58" s="328">
        <x:f>IF(L58&gt;0,NbEch+Différé+1-H58,"")</x:f>
      </x:c>
      <x:c r="J58" s="339">
        <x:f>IF(ISNUMBER(K58),YEAR(K58),"")</x:f>
      </x:c>
      <x:c r="K58" s="340">
        <x:f>IF(L58=0,"",IF(Ijour=0,MIN(DATE(YEAR(DebAmort),MONTH(DebAmort)+MoisD+(H58-1)*Imois,Jour2),DATE(YEAR(DebAmort),MONTH(DebAmort)+MoisD+1+(H58-1)*Imois,0)),DATE(YEAR(DebAmort),MONTH(DebAmort),Jour1+(H58-1)*Ijour)))</x:f>
      </x:c>
      <x:c r="L58" s="341">
        <x:f>L57-N57</x:f>
      </x:c>
      <x:c r="M58" s="331">
        <x:f>IF(H58&lt;=NoEchMaxi,ROUND(L58*R58,NbDeci),0)</x:f>
      </x:c>
      <x:c r="N58" s="330">
        <x:f>IF(OR(H58&lt;=Différé,H58&gt;NoEchMaxi),IF(DiffTotal,-M58,0),IF(H58&gt;=NoEchRemb,L58,IF(S58-(M58*EchFIXE)&gt;L58-2,L58,S58-(M58*EchFIXE))))+C58</x:f>
      </x:c>
      <x:c r="O58" s="332">
        <x:f>IF(OR(L58=0,H58&gt;NoEchMaxi),0,ROUND(FraisF+FraisV*L58,NbDeci))+F58</x:f>
      </x:c>
      <x:c r="P58" s="342">
        <x:f>SUM(M58:O58)</x:f>
      </x:c>
      <x:c r="Q58" s="0"/>
      <x:c r="R58" s="71">
        <x:f>IF(B58&gt;0,IF(TauxActuariel,((B58+1)^(1/NbEchAn))-1,B58/NbEchAn),R57)</x:f>
      </x:c>
      <x:c r="S58" s="70">
        <x:f>IF(E58&gt;0,E58,IF(D58&gt;0,IF(AND(EchFIXE,R58&gt;0),ROUND((L58-C58)*R58/(1-((1+R58)^-D58)),NbDeci),ROUND(L58/D58,NbDeci)),S57))</x:f>
      </x:c>
    </x:row>
    <x:row r="59" spans="1:31" x14ac:dyDescent="0.2">
      <x:c r="B59" s="334"/>
      <x:c r="C59" s="335"/>
      <x:c r="D59" s="336"/>
      <x:c r="E59" s="337"/>
      <x:c r="F59" s="338"/>
      <x:c r="H59" s="327">
        <x:f>IF(L59=0,"",H58+1)</x:f>
      </x:c>
      <x:c r="I59" s="328">
        <x:f>IF(L59&gt;0,NbEch+Différé+1-H59,"")</x:f>
      </x:c>
      <x:c r="J59" s="339">
        <x:f>IF(ISNUMBER(K59),YEAR(K59),"")</x:f>
      </x:c>
      <x:c r="K59" s="340">
        <x:f>IF(L59=0,"",IF(Ijour=0,MIN(DATE(YEAR(DebAmort),MONTH(DebAmort)+(H59-1)*Imois,Jour1),DATE(YEAR(DebAmort),MONTH(DebAmort)+1+(H59-1)*Imois,0)),DATE(YEAR(DebAmort),MONTH(DebAmort),Jour1+(H59-1)*Ijour)))</x:f>
      </x:c>
      <x:c r="L59" s="341">
        <x:f>L58-N58</x:f>
      </x:c>
      <x:c r="M59" s="331">
        <x:f>IF(H59&lt;=NoEchMaxi,ROUND(L59*R59,NbDeci),0)</x:f>
      </x:c>
      <x:c r="N59" s="330">
        <x:f>IF(OR(H59&lt;=Différé,H59&gt;NoEchMaxi),IF(DiffTotal,-M59,0),IF(H59&gt;=NoEchRemb,L59,IF(S59-(M59*EchFIXE)&gt;L59-2,L59,S59-(M59*EchFIXE))))+C59</x:f>
      </x:c>
      <x:c r="O59" s="332">
        <x:f>IF(OR(L59=0,H59&gt;NoEchMaxi),0,ROUND(FraisF+FraisV*L59,NbDeci))+F59</x:f>
      </x:c>
      <x:c r="P59" s="342">
        <x:f>SUM(M59:O59)</x:f>
      </x:c>
      <x:c r="Q59" s="0"/>
      <x:c r="R59" s="71">
        <x:f>IF(B59&gt;0,IF(TauxActuariel,((B59+1)^(1/NbEchAn))-1,B59/NbEchAn),R58)</x:f>
      </x:c>
      <x:c r="S59" s="70">
        <x:f>IF(E59&gt;0,E59,IF(D59&gt;0,IF(AND(EchFIXE,R59&gt;0),ROUND((L59-C59)*R59/(1-((1+R59)^-D59)),NbDeci),ROUND(L59/D59,NbDeci)),S58))</x:f>
      </x:c>
    </x:row>
    <x:row r="60" spans="1:31" x14ac:dyDescent="0.2">
      <x:c r="B60" s="334"/>
      <x:c r="C60" s="335"/>
      <x:c r="D60" s="336"/>
      <x:c r="E60" s="337"/>
      <x:c r="F60" s="338"/>
      <x:c r="H60" s="327">
        <x:f>IF(L60=0,"",H59+1)</x:f>
      </x:c>
      <x:c r="I60" s="328">
        <x:f>IF(L60&gt;0,NbEch+Différé+1-H60,"")</x:f>
      </x:c>
      <x:c r="J60" s="339">
        <x:f>IF(ISNUMBER(K60),YEAR(K60),"")</x:f>
      </x:c>
      <x:c r="K60" s="340">
        <x:f>IF(L60=0,"",IF(Ijour=0,MIN(DATE(YEAR(DebAmort),MONTH(DebAmort)+MoisD+(H60-1)*Imois,Jour2),DATE(YEAR(DebAmort),MONTH(DebAmort)+MoisD+1+(H60-1)*Imois,0)),DATE(YEAR(DebAmort),MONTH(DebAmort),Jour1+(H60-1)*Ijour)))</x:f>
      </x:c>
      <x:c r="L60" s="341">
        <x:f>L59-N59</x:f>
      </x:c>
      <x:c r="M60" s="331">
        <x:f>IF(H60&lt;=NoEchMaxi,ROUND(L60*R60,NbDeci),0)</x:f>
      </x:c>
      <x:c r="N60" s="330">
        <x:f>IF(OR(H60&lt;=Différé,H60&gt;NoEchMaxi),IF(DiffTotal,-M60,0),IF(H60&gt;=NoEchRemb,L60,IF(S60-(M60*EchFIXE)&gt;L60-2,L60,S60-(M60*EchFIXE))))+C60</x:f>
      </x:c>
      <x:c r="O60" s="332">
        <x:f>IF(OR(L60=0,H60&gt;NoEchMaxi),0,ROUND(FraisF+FraisV*L60,NbDeci))+F60</x:f>
      </x:c>
      <x:c r="P60" s="342">
        <x:f>SUM(M60:O60)</x:f>
      </x:c>
      <x:c r="Q60" s="0"/>
      <x:c r="R60" s="71">
        <x:f>IF(B60&gt;0,IF(TauxActuariel,((B60+1)^(1/NbEchAn))-1,B60/NbEchAn),R59)</x:f>
      </x:c>
      <x:c r="S60" s="70">
        <x:f>IF(E60&gt;0,E60,IF(D60&gt;0,IF(AND(EchFIXE,R60&gt;0),ROUND((L60-C60)*R60/(1-((1+R60)^-D60)),NbDeci),ROUND(L60/D60,NbDeci)),S59))</x:f>
      </x:c>
    </x:row>
    <x:row r="61" spans="1:31" x14ac:dyDescent="0.2">
      <x:c r="B61" s="334"/>
      <x:c r="C61" s="335"/>
      <x:c r="D61" s="336"/>
      <x:c r="E61" s="337"/>
      <x:c r="F61" s="338"/>
      <x:c r="H61" s="327">
        <x:f>IF(L61=0,"",H60+1)</x:f>
      </x:c>
      <x:c r="I61" s="328">
        <x:f>IF(L61&gt;0,NbEch+Différé+1-H61,"")</x:f>
      </x:c>
      <x:c r="J61" s="339">
        <x:f>IF(ISNUMBER(K61),YEAR(K61),"")</x:f>
      </x:c>
      <x:c r="K61" s="340">
        <x:f>IF(L61=0,"",IF(Ijour=0,MIN(DATE(YEAR(DebAmort),MONTH(DebAmort)+(H61-1)*Imois,Jour1),DATE(YEAR(DebAmort),MONTH(DebAmort)+1+(H61-1)*Imois,0)),DATE(YEAR(DebAmort),MONTH(DebAmort),Jour1+(H61-1)*Ijour)))</x:f>
      </x:c>
      <x:c r="L61" s="341">
        <x:f>L60-N60</x:f>
      </x:c>
      <x:c r="M61" s="331">
        <x:f>IF(H61&lt;=NoEchMaxi,ROUND(L61*R61,NbDeci),0)</x:f>
      </x:c>
      <x:c r="N61" s="330">
        <x:f>IF(OR(H61&lt;=Différé,H61&gt;NoEchMaxi),IF(DiffTotal,-M61,0),IF(H61&gt;=NoEchRemb,L61,IF(S61-(M61*EchFIXE)&gt;L61-2,L61,S61-(M61*EchFIXE))))+C61</x:f>
      </x:c>
      <x:c r="O61" s="332">
        <x:f>IF(OR(L61=0,H61&gt;NoEchMaxi),0,ROUND(FraisF+FraisV*L61,NbDeci))+F61</x:f>
      </x:c>
      <x:c r="P61" s="342">
        <x:f>SUM(M61:O61)</x:f>
      </x:c>
      <x:c r="Q61" s="0"/>
      <x:c r="R61" s="71">
        <x:f>IF(B61&gt;0,IF(TauxActuariel,((B61+1)^(1/NbEchAn))-1,B61/NbEchAn),R60)</x:f>
      </x:c>
      <x:c r="S61" s="70">
        <x:f>IF(E61&gt;0,E61,IF(D61&gt;0,IF(AND(EchFIXE,R61&gt;0),ROUND((L61-C61)*R61/(1-((1+R61)^-D61)),NbDeci),ROUND(L61/D61,NbDeci)),S60))</x:f>
      </x:c>
    </x:row>
    <x:row r="62" spans="1:31" x14ac:dyDescent="0.2">
      <x:c r="B62" s="334"/>
      <x:c r="C62" s="335"/>
      <x:c r="D62" s="336"/>
      <x:c r="E62" s="337"/>
      <x:c r="F62" s="338"/>
      <x:c r="H62" s="327">
        <x:f>IF(L62=0,"",H61+1)</x:f>
      </x:c>
      <x:c r="I62" s="328">
        <x:f>IF(L62&gt;0,NbEch+Différé+1-H62,"")</x:f>
      </x:c>
      <x:c r="J62" s="339">
        <x:f>IF(ISNUMBER(K62),YEAR(K62),"")</x:f>
      </x:c>
      <x:c r="K62" s="340">
        <x:f>IF(L62=0,"",IF(Ijour=0,MIN(DATE(YEAR(DebAmort),MONTH(DebAmort)+MoisD+(H62-1)*Imois,Jour2),DATE(YEAR(DebAmort),MONTH(DebAmort)+MoisD+1+(H62-1)*Imois,0)),DATE(YEAR(DebAmort),MONTH(DebAmort),Jour1+(H62-1)*Ijour)))</x:f>
      </x:c>
      <x:c r="L62" s="341">
        <x:f>L61-N61</x:f>
      </x:c>
      <x:c r="M62" s="331">
        <x:f>IF(H62&lt;=NoEchMaxi,ROUND(L62*R62,NbDeci),0)</x:f>
      </x:c>
      <x:c r="N62" s="330">
        <x:f>IF(OR(H62&lt;=Différé,H62&gt;NoEchMaxi),IF(DiffTotal,-M62,0),IF(H62&gt;=NoEchRemb,L62,IF(S62-(M62*EchFIXE)&gt;L62-2,L62,S62-(M62*EchFIXE))))+C62</x:f>
      </x:c>
      <x:c r="O62" s="332">
        <x:f>IF(OR(L62=0,H62&gt;NoEchMaxi),0,ROUND(FraisF+FraisV*L62,NbDeci))+F62</x:f>
      </x:c>
      <x:c r="P62" s="342">
        <x:f>SUM(M62:O62)</x:f>
      </x:c>
      <x:c r="Q62" s="0"/>
      <x:c r="R62" s="71">
        <x:f>IF(B62&gt;0,IF(TauxActuariel,((B62+1)^(1/NbEchAn))-1,B62/NbEchAn),R61)</x:f>
      </x:c>
      <x:c r="S62" s="70">
        <x:f>IF(E62&gt;0,E62,IF(D62&gt;0,IF(AND(EchFIXE,R62&gt;0),ROUND((L62-C62)*R62/(1-((1+R62)^-D62)),NbDeci),ROUND(L62/D62,NbDeci)),S61))</x:f>
      </x:c>
    </x:row>
    <x:row r="63" spans="1:31" x14ac:dyDescent="0.2">
      <x:c r="B63" s="334"/>
      <x:c r="C63" s="335"/>
      <x:c r="D63" s="336"/>
      <x:c r="E63" s="337"/>
      <x:c r="F63" s="338"/>
      <x:c r="H63" s="327">
        <x:f>IF(L63=0,"",H62+1)</x:f>
      </x:c>
      <x:c r="I63" s="328">
        <x:f>IF(L63&gt;0,NbEch+Différé+1-H63,"")</x:f>
      </x:c>
      <x:c r="J63" s="339">
        <x:f>IF(ISNUMBER(K63),YEAR(K63),"")</x:f>
      </x:c>
      <x:c r="K63" s="340">
        <x:f>IF(L63=0,"",IF(Ijour=0,MIN(DATE(YEAR(DebAmort),MONTH(DebAmort)+(H63-1)*Imois,Jour1),DATE(YEAR(DebAmort),MONTH(DebAmort)+1+(H63-1)*Imois,0)),DATE(YEAR(DebAmort),MONTH(DebAmort),Jour1+(H63-1)*Ijour)))</x:f>
      </x:c>
      <x:c r="L63" s="341">
        <x:f>L62-N62</x:f>
      </x:c>
      <x:c r="M63" s="331">
        <x:f>IF(H63&lt;=NoEchMaxi,ROUND(L63*R63,NbDeci),0)</x:f>
      </x:c>
      <x:c r="N63" s="330">
        <x:f>IF(OR(H63&lt;=Différé,H63&gt;NoEchMaxi),IF(DiffTotal,-M63,0),IF(H63&gt;=NoEchRemb,L63,IF(S63-(M63*EchFIXE)&gt;L63-2,L63,S63-(M63*EchFIXE))))+C63</x:f>
      </x:c>
      <x:c r="O63" s="332">
        <x:f>IF(OR(L63=0,H63&gt;NoEchMaxi),0,ROUND(FraisF+FraisV*L63,NbDeci))+F63</x:f>
      </x:c>
      <x:c r="P63" s="342">
        <x:f>SUM(M63:O63)</x:f>
      </x:c>
      <x:c r="Q63" s="0"/>
      <x:c r="R63" s="71">
        <x:f>IF(B63&gt;0,IF(TauxActuariel,((B63+1)^(1/NbEchAn))-1,B63/NbEchAn),R62)</x:f>
      </x:c>
      <x:c r="S63" s="70">
        <x:f>IF(E63&gt;0,E63,IF(D63&gt;0,IF(AND(EchFIXE,R63&gt;0),ROUND((L63-C63)*R63/(1-((1+R63)^-D63)),NbDeci),ROUND(L63/D63,NbDeci)),S62))</x:f>
      </x:c>
    </x:row>
    <x:row r="64" spans="1:31" x14ac:dyDescent="0.2">
      <x:c r="B64" s="334"/>
      <x:c r="C64" s="335"/>
      <x:c r="D64" s="336"/>
      <x:c r="E64" s="337"/>
      <x:c r="F64" s="338"/>
      <x:c r="H64" s="327">
        <x:f>IF(L64=0,"",H63+1)</x:f>
      </x:c>
      <x:c r="I64" s="328">
        <x:f>IF(L64&gt;0,NbEch+Différé+1-H64,"")</x:f>
      </x:c>
      <x:c r="J64" s="339">
        <x:f>IF(ISNUMBER(K64),YEAR(K64),"")</x:f>
      </x:c>
      <x:c r="K64" s="340">
        <x:f>IF(L64=0,"",IF(Ijour=0,MIN(DATE(YEAR(DebAmort),MONTH(DebAmort)+MoisD+(H64-1)*Imois,Jour2),DATE(YEAR(DebAmort),MONTH(DebAmort)+MoisD+1+(H64-1)*Imois,0)),DATE(YEAR(DebAmort),MONTH(DebAmort),Jour1+(H64-1)*Ijour)))</x:f>
      </x:c>
      <x:c r="L64" s="341">
        <x:f>L63-N63</x:f>
      </x:c>
      <x:c r="M64" s="331">
        <x:f>IF(H64&lt;=NoEchMaxi,ROUND(L64*R64,NbDeci),0)</x:f>
      </x:c>
      <x:c r="N64" s="330">
        <x:f>IF(OR(H64&lt;=Différé,H64&gt;NoEchMaxi),IF(DiffTotal,-M64,0),IF(H64&gt;=NoEchRemb,L64,IF(S64-(M64*EchFIXE)&gt;L64-2,L64,S64-(M64*EchFIXE))))+C64</x:f>
      </x:c>
      <x:c r="O64" s="332">
        <x:f>IF(OR(L64=0,H64&gt;NoEchMaxi),0,ROUND(FraisF+FraisV*L64,NbDeci))+F64</x:f>
      </x:c>
      <x:c r="P64" s="342">
        <x:f>SUM(M64:O64)</x:f>
      </x:c>
      <x:c r="Q64" s="0"/>
      <x:c r="R64" s="71">
        <x:f>IF(B64&gt;0,IF(TauxActuariel,((B64+1)^(1/NbEchAn))-1,B64/NbEchAn),R63)</x:f>
      </x:c>
      <x:c r="S64" s="70">
        <x:f>IF(E64&gt;0,E64,IF(D64&gt;0,IF(AND(EchFIXE,R64&gt;0),ROUND((L64-C64)*R64/(1-((1+R64)^-D64)),NbDeci),ROUND(L64/D64,NbDeci)),S63))</x:f>
      </x:c>
    </x:row>
    <x:row r="65" spans="1:31" x14ac:dyDescent="0.2">
      <x:c r="B65" s="334"/>
      <x:c r="C65" s="335"/>
      <x:c r="D65" s="336"/>
      <x:c r="E65" s="337"/>
      <x:c r="F65" s="338"/>
      <x:c r="H65" s="327">
        <x:f>IF(L65=0,"",H64+1)</x:f>
      </x:c>
      <x:c r="I65" s="328">
        <x:f>IF(L65&gt;0,NbEch+Différé+1-H65,"")</x:f>
      </x:c>
      <x:c r="J65" s="339">
        <x:f>IF(ISNUMBER(K65),YEAR(K65),"")</x:f>
      </x:c>
      <x:c r="K65" s="340">
        <x:f>IF(L65=0,"",IF(Ijour=0,MIN(DATE(YEAR(DebAmort),MONTH(DebAmort)+(H65-1)*Imois,Jour1),DATE(YEAR(DebAmort),MONTH(DebAmort)+1+(H65-1)*Imois,0)),DATE(YEAR(DebAmort),MONTH(DebAmort),Jour1+(H65-1)*Ijour)))</x:f>
      </x:c>
      <x:c r="L65" s="341">
        <x:f>L64-N64</x:f>
      </x:c>
      <x:c r="M65" s="331">
        <x:f>IF(H65&lt;=NoEchMaxi,ROUND(L65*R65,NbDeci),0)</x:f>
      </x:c>
      <x:c r="N65" s="330">
        <x:f>IF(OR(H65&lt;=Différé,H65&gt;NoEchMaxi),IF(DiffTotal,-M65,0),IF(H65&gt;=NoEchRemb,L65,IF(S65-(M65*EchFIXE)&gt;L65-2,L65,S65-(M65*EchFIXE))))+C65</x:f>
      </x:c>
      <x:c r="O65" s="332">
        <x:f>IF(OR(L65=0,H65&gt;NoEchMaxi),0,ROUND(FraisF+FraisV*L65,NbDeci))+F65</x:f>
      </x:c>
      <x:c r="P65" s="342">
        <x:f>SUM(M65:O65)</x:f>
      </x:c>
      <x:c r="Q65" s="0"/>
      <x:c r="R65" s="71">
        <x:f>IF(B65&gt;0,IF(TauxActuariel,((B65+1)^(1/NbEchAn))-1,B65/NbEchAn),R64)</x:f>
      </x:c>
      <x:c r="S65" s="70">
        <x:f>IF(E65&gt;0,E65,IF(D65&gt;0,IF(AND(EchFIXE,R65&gt;0),ROUND((L65-C65)*R65/(1-((1+R65)^-D65)),NbDeci),ROUND(L65/D65,NbDeci)),S64))</x:f>
      </x:c>
    </x:row>
    <x:row r="66" spans="1:31" x14ac:dyDescent="0.2">
      <x:c r="B66" s="334"/>
      <x:c r="C66" s="335"/>
      <x:c r="D66" s="336"/>
      <x:c r="E66" s="337"/>
      <x:c r="F66" s="338"/>
      <x:c r="H66" s="327">
        <x:f>IF(L66=0,"",H65+1)</x:f>
      </x:c>
      <x:c r="I66" s="328">
        <x:f>IF(L66&gt;0,NbEch+Différé+1-H66,"")</x:f>
      </x:c>
      <x:c r="J66" s="339">
        <x:f>IF(ISNUMBER(K66),YEAR(K66),"")</x:f>
      </x:c>
      <x:c r="K66" s="340">
        <x:f>IF(L66=0,"",IF(Ijour=0,MIN(DATE(YEAR(DebAmort),MONTH(DebAmort)+MoisD+(H66-1)*Imois,Jour2),DATE(YEAR(DebAmort),MONTH(DebAmort)+MoisD+1+(H66-1)*Imois,0)),DATE(YEAR(DebAmort),MONTH(DebAmort),Jour1+(H66-1)*Ijour)))</x:f>
      </x:c>
      <x:c r="L66" s="341">
        <x:f>L65-N65</x:f>
      </x:c>
      <x:c r="M66" s="331">
        <x:f>IF(H66&lt;=NoEchMaxi,ROUND(L66*R66,NbDeci),0)</x:f>
      </x:c>
      <x:c r="N66" s="330">
        <x:f>IF(OR(H66&lt;=Différé,H66&gt;NoEchMaxi),IF(DiffTotal,-M66,0),IF(H66&gt;=NoEchRemb,L66,IF(S66-(M66*EchFIXE)&gt;L66-2,L66,S66-(M66*EchFIXE))))+C66</x:f>
      </x:c>
      <x:c r="O66" s="332">
        <x:f>IF(OR(L66=0,H66&gt;NoEchMaxi),0,ROUND(FraisF+FraisV*L66,NbDeci))+F66</x:f>
      </x:c>
      <x:c r="P66" s="342">
        <x:f>SUM(M66:O66)</x:f>
      </x:c>
      <x:c r="Q66" s="0"/>
      <x:c r="R66" s="71">
        <x:f>IF(B66&gt;0,IF(TauxActuariel,((B66+1)^(1/NbEchAn))-1,B66/NbEchAn),R65)</x:f>
      </x:c>
      <x:c r="S66" s="70">
        <x:f>IF(E66&gt;0,E66,IF(D66&gt;0,IF(AND(EchFIXE,R66&gt;0),ROUND((L66-C66)*R66/(1-((1+R66)^-D66)),NbDeci),ROUND(L66/D66,NbDeci)),S65))</x:f>
      </x:c>
    </x:row>
    <x:row r="67" spans="1:31" x14ac:dyDescent="0.2">
      <x:c r="B67" s="334"/>
      <x:c r="C67" s="335"/>
      <x:c r="D67" s="336"/>
      <x:c r="E67" s="337"/>
      <x:c r="F67" s="338"/>
      <x:c r="H67" s="327">
        <x:f>IF(L67=0,"",H66+1)</x:f>
      </x:c>
      <x:c r="I67" s="328">
        <x:f>IF(L67&gt;0,NbEch+Différé+1-H67,"")</x:f>
      </x:c>
      <x:c r="J67" s="339">
        <x:f>IF(ISNUMBER(K67),YEAR(K67),"")</x:f>
      </x:c>
      <x:c r="K67" s="340">
        <x:f>IF(L67=0,"",IF(Ijour=0,MIN(DATE(YEAR(DebAmort),MONTH(DebAmort)+(H67-1)*Imois,Jour1),DATE(YEAR(DebAmort),MONTH(DebAmort)+1+(H67-1)*Imois,0)),DATE(YEAR(DebAmort),MONTH(DebAmort),Jour1+(H67-1)*Ijour)))</x:f>
      </x:c>
      <x:c r="L67" s="341">
        <x:f>L66-N66</x:f>
      </x:c>
      <x:c r="M67" s="331">
        <x:f>IF(H67&lt;=NoEchMaxi,ROUND(L67*R67,NbDeci),0)</x:f>
      </x:c>
      <x:c r="N67" s="330">
        <x:f>IF(OR(H67&lt;=Différé,H67&gt;NoEchMaxi),IF(DiffTotal,-M67,0),IF(H67&gt;=NoEchRemb,L67,IF(S67-(M67*EchFIXE)&gt;L67-2,L67,S67-(M67*EchFIXE))))+C67</x:f>
      </x:c>
      <x:c r="O67" s="332">
        <x:f>IF(OR(L67=0,H67&gt;NoEchMaxi),0,ROUND(FraisF+FraisV*L67,NbDeci))+F67</x:f>
      </x:c>
      <x:c r="P67" s="342">
        <x:f>SUM(M67:O67)</x:f>
      </x:c>
      <x:c r="Q67" s="0"/>
      <x:c r="R67" s="71">
        <x:f>IF(B67&gt;0,IF(TauxActuariel,((B67+1)^(1/NbEchAn))-1,B67/NbEchAn),R66)</x:f>
      </x:c>
      <x:c r="S67" s="70">
        <x:f>IF(E67&gt;0,E67,IF(D67&gt;0,IF(AND(EchFIXE,R67&gt;0),ROUND((L67-C67)*R67/(1-((1+R67)^-D67)),NbDeci),ROUND(L67/D67,NbDeci)),S66))</x:f>
      </x:c>
    </x:row>
    <x:row r="68" spans="1:31" x14ac:dyDescent="0.2">
      <x:c r="B68" s="334"/>
      <x:c r="C68" s="335"/>
      <x:c r="D68" s="336"/>
      <x:c r="E68" s="337"/>
      <x:c r="F68" s="338"/>
      <x:c r="H68" s="327">
        <x:f>IF(L68=0,"",H67+1)</x:f>
      </x:c>
      <x:c r="I68" s="328">
        <x:f>IF(L68&gt;0,NbEch+Différé+1-H68,"")</x:f>
      </x:c>
      <x:c r="J68" s="339">
        <x:f>IF(ISNUMBER(K68),YEAR(K68),"")</x:f>
      </x:c>
      <x:c r="K68" s="340">
        <x:f>IF(L68=0,"",IF(Ijour=0,MIN(DATE(YEAR(DebAmort),MONTH(DebAmort)+MoisD+(H68-1)*Imois,Jour2),DATE(YEAR(DebAmort),MONTH(DebAmort)+MoisD+1+(H68-1)*Imois,0)),DATE(YEAR(DebAmort),MONTH(DebAmort),Jour1+(H68-1)*Ijour)))</x:f>
      </x:c>
      <x:c r="L68" s="341">
        <x:f>L67-N67</x:f>
      </x:c>
      <x:c r="M68" s="331">
        <x:f>IF(H68&lt;=NoEchMaxi,ROUND(L68*R68,NbDeci),0)</x:f>
      </x:c>
      <x:c r="N68" s="330">
        <x:f>IF(OR(H68&lt;=Différé,H68&gt;NoEchMaxi),IF(DiffTotal,-M68,0),IF(H68&gt;=NoEchRemb,L68,IF(S68-(M68*EchFIXE)&gt;L68-2,L68,S68-(M68*EchFIXE))))+C68</x:f>
      </x:c>
      <x:c r="O68" s="332">
        <x:f>IF(OR(L68=0,H68&gt;NoEchMaxi),0,ROUND(FraisF+FraisV*L68,NbDeci))+F68</x:f>
      </x:c>
      <x:c r="P68" s="342">
        <x:f>SUM(M68:O68)</x:f>
      </x:c>
      <x:c r="Q68" s="0"/>
      <x:c r="R68" s="71">
        <x:f>IF(B68&gt;0,IF(TauxActuariel,((B68+1)^(1/NbEchAn))-1,B68/NbEchAn),R67)</x:f>
      </x:c>
      <x:c r="S68" s="70">
        <x:f>IF(E68&gt;0,E68,IF(D68&gt;0,IF(AND(EchFIXE,R68&gt;0),ROUND((L68-C68)*R68/(1-((1+R68)^-D68)),NbDeci),ROUND(L68/D68,NbDeci)),S67))</x:f>
      </x:c>
    </x:row>
    <x:row r="69" spans="1:31" x14ac:dyDescent="0.2">
      <x:c r="B69" s="334"/>
      <x:c r="C69" s="335"/>
      <x:c r="D69" s="336"/>
      <x:c r="E69" s="337"/>
      <x:c r="F69" s="338"/>
      <x:c r="H69" s="327">
        <x:f>IF(L69=0,"",H68+1)</x:f>
      </x:c>
      <x:c r="I69" s="328">
        <x:f>IF(L69&gt;0,NbEch+Différé+1-H69,"")</x:f>
      </x:c>
      <x:c r="J69" s="339">
        <x:f>IF(ISNUMBER(K69),YEAR(K69),"")</x:f>
      </x:c>
      <x:c r="K69" s="340">
        <x:f>IF(L69=0,"",IF(Ijour=0,MIN(DATE(YEAR(DebAmort),MONTH(DebAmort)+(H69-1)*Imois,Jour1),DATE(YEAR(DebAmort),MONTH(DebAmort)+1+(H69-1)*Imois,0)),DATE(YEAR(DebAmort),MONTH(DebAmort),Jour1+(H69-1)*Ijour)))</x:f>
      </x:c>
      <x:c r="L69" s="341">
        <x:f>L68-N68</x:f>
      </x:c>
      <x:c r="M69" s="331">
        <x:f>IF(H69&lt;=NoEchMaxi,ROUND(L69*R69,NbDeci),0)</x:f>
      </x:c>
      <x:c r="N69" s="330">
        <x:f>IF(OR(H69&lt;=Différé,H69&gt;NoEchMaxi),IF(DiffTotal,-M69,0),IF(H69&gt;=NoEchRemb,L69,IF(S69-(M69*EchFIXE)&gt;L69-2,L69,S69-(M69*EchFIXE))))+C69</x:f>
      </x:c>
      <x:c r="O69" s="332">
        <x:f>IF(OR(L69=0,H69&gt;NoEchMaxi),0,ROUND(FraisF+FraisV*L69,NbDeci))+F69</x:f>
      </x:c>
      <x:c r="P69" s="342">
        <x:f>SUM(M69:O69)</x:f>
      </x:c>
      <x:c r="Q69" s="0"/>
      <x:c r="R69" s="71">
        <x:f>IF(B69&gt;0,IF(TauxActuariel,((B69+1)^(1/NbEchAn))-1,B69/NbEchAn),R68)</x:f>
      </x:c>
      <x:c r="S69" s="70">
        <x:f>IF(E69&gt;0,E69,IF(D69&gt;0,IF(AND(EchFIXE,R69&gt;0),ROUND((L69-C69)*R69/(1-((1+R69)^-D69)),NbDeci),ROUND(L69/D69,NbDeci)),S68))</x:f>
      </x:c>
    </x:row>
    <x:row r="70" spans="1:31" x14ac:dyDescent="0.2">
      <x:c r="B70" s="334"/>
      <x:c r="C70" s="335"/>
      <x:c r="D70" s="336"/>
      <x:c r="E70" s="337"/>
      <x:c r="F70" s="338"/>
      <x:c r="H70" s="327">
        <x:f>IF(L70=0,"",H69+1)</x:f>
      </x:c>
      <x:c r="I70" s="328">
        <x:f>IF(L70&gt;0,NbEch+Différé+1-H70,"")</x:f>
      </x:c>
      <x:c r="J70" s="339">
        <x:f>IF(ISNUMBER(K70),YEAR(K70),"")</x:f>
      </x:c>
      <x:c r="K70" s="340">
        <x:f>IF(L70=0,"",IF(Ijour=0,MIN(DATE(YEAR(DebAmort),MONTH(DebAmort)+MoisD+(H70-1)*Imois,Jour2),DATE(YEAR(DebAmort),MONTH(DebAmort)+MoisD+1+(H70-1)*Imois,0)),DATE(YEAR(DebAmort),MONTH(DebAmort),Jour1+(H70-1)*Ijour)))</x:f>
      </x:c>
      <x:c r="L70" s="341">
        <x:f>L69-N69</x:f>
      </x:c>
      <x:c r="M70" s="331">
        <x:f>IF(H70&lt;=NoEchMaxi,ROUND(L70*R70,NbDeci),0)</x:f>
      </x:c>
      <x:c r="N70" s="330">
        <x:f>IF(OR(H70&lt;=Différé,H70&gt;NoEchMaxi),IF(DiffTotal,-M70,0),IF(H70&gt;=NoEchRemb,L70,IF(S70-(M70*EchFIXE)&gt;L70-2,L70,S70-(M70*EchFIXE))))+C70</x:f>
      </x:c>
      <x:c r="O70" s="332">
        <x:f>IF(OR(L70=0,H70&gt;NoEchMaxi),0,ROUND(FraisF+FraisV*L70,NbDeci))+F70</x:f>
      </x:c>
      <x:c r="P70" s="342">
        <x:f>SUM(M70:O70)</x:f>
      </x:c>
      <x:c r="Q70" s="0"/>
      <x:c r="R70" s="71">
        <x:f>IF(B70&gt;0,IF(TauxActuariel,((B70+1)^(1/NbEchAn))-1,B70/NbEchAn),R69)</x:f>
      </x:c>
      <x:c r="S70" s="70">
        <x:f>IF(E70&gt;0,E70,IF(D70&gt;0,IF(AND(EchFIXE,R70&gt;0),ROUND((L70-C70)*R70/(1-((1+R70)^-D70)),NbDeci),ROUND(L70/D70,NbDeci)),S69))</x:f>
      </x:c>
    </x:row>
    <x:row r="71" spans="1:31" x14ac:dyDescent="0.2">
      <x:c r="B71" s="334"/>
      <x:c r="C71" s="335"/>
      <x:c r="D71" s="336"/>
      <x:c r="E71" s="337"/>
      <x:c r="F71" s="338"/>
      <x:c r="H71" s="327">
        <x:f>IF(L71=0,"",H70+1)</x:f>
      </x:c>
      <x:c r="I71" s="328">
        <x:f>IF(L71&gt;0,NbEch+Différé+1-H71,"")</x:f>
      </x:c>
      <x:c r="J71" s="339">
        <x:f>IF(ISNUMBER(K71),YEAR(K71),"")</x:f>
      </x:c>
      <x:c r="K71" s="340">
        <x:f>IF(L71=0,"",IF(Ijour=0,MIN(DATE(YEAR(DebAmort),MONTH(DebAmort)+(H71-1)*Imois,Jour1),DATE(YEAR(DebAmort),MONTH(DebAmort)+1+(H71-1)*Imois,0)),DATE(YEAR(DebAmort),MONTH(DebAmort),Jour1+(H71-1)*Ijour)))</x:f>
      </x:c>
      <x:c r="L71" s="341">
        <x:f>L70-N70</x:f>
      </x:c>
      <x:c r="M71" s="331">
        <x:f>IF(H71&lt;=NoEchMaxi,ROUND(L71*R71,NbDeci),0)</x:f>
      </x:c>
      <x:c r="N71" s="330">
        <x:f>IF(OR(H71&lt;=Différé,H71&gt;NoEchMaxi),IF(DiffTotal,-M71,0),IF(H71&gt;=NoEchRemb,L71,IF(S71-(M71*EchFIXE)&gt;L71-2,L71,S71-(M71*EchFIXE))))+C71</x:f>
      </x:c>
      <x:c r="O71" s="332">
        <x:f>IF(OR(L71=0,H71&gt;NoEchMaxi),0,ROUND(FraisF+FraisV*L71,NbDeci))+F71</x:f>
      </x:c>
      <x:c r="P71" s="342">
        <x:f>SUM(M71:O71)</x:f>
      </x:c>
      <x:c r="Q71" s="0"/>
      <x:c r="R71" s="71">
        <x:f>IF(B71&gt;0,IF(TauxActuariel,((B71+1)^(1/NbEchAn))-1,B71/NbEchAn),R70)</x:f>
      </x:c>
      <x:c r="S71" s="70">
        <x:f>IF(E71&gt;0,E71,IF(D71&gt;0,IF(AND(EchFIXE,R71&gt;0),ROUND((L71-C71)*R71/(1-((1+R71)^-D71)),NbDeci),ROUND(L71/D71,NbDeci)),S70))</x:f>
      </x:c>
    </x:row>
    <x:row r="72" spans="1:31" x14ac:dyDescent="0.2">
      <x:c r="B72" s="334"/>
      <x:c r="C72" s="335"/>
      <x:c r="D72" s="336"/>
      <x:c r="E72" s="337"/>
      <x:c r="F72" s="338"/>
      <x:c r="H72" s="327">
        <x:f>IF(L72=0,"",H71+1)</x:f>
      </x:c>
      <x:c r="I72" s="328">
        <x:f>IF(L72&gt;0,NbEch+Différé+1-H72,"")</x:f>
      </x:c>
      <x:c r="J72" s="339">
        <x:f>IF(ISNUMBER(K72),YEAR(K72),"")</x:f>
      </x:c>
      <x:c r="K72" s="340">
        <x:f>IF(L72=0,"",IF(Ijour=0,MIN(DATE(YEAR(DebAmort),MONTH(DebAmort)+MoisD+(H72-1)*Imois,Jour2),DATE(YEAR(DebAmort),MONTH(DebAmort)+MoisD+1+(H72-1)*Imois,0)),DATE(YEAR(DebAmort),MONTH(DebAmort),Jour1+(H72-1)*Ijour)))</x:f>
      </x:c>
      <x:c r="L72" s="341">
        <x:f>L71-N71</x:f>
      </x:c>
      <x:c r="M72" s="331">
        <x:f>IF(H72&lt;=NoEchMaxi,ROUND(L72*R72,NbDeci),0)</x:f>
      </x:c>
      <x:c r="N72" s="330">
        <x:f>IF(OR(H72&lt;=Différé,H72&gt;NoEchMaxi),IF(DiffTotal,-M72,0),IF(H72&gt;=NoEchRemb,L72,IF(S72-(M72*EchFIXE)&gt;L72-2,L72,S72-(M72*EchFIXE))))+C72</x:f>
      </x:c>
      <x:c r="O72" s="332">
        <x:f>IF(OR(L72=0,H72&gt;NoEchMaxi),0,ROUND(FraisF+FraisV*L72,NbDeci))+F72</x:f>
      </x:c>
      <x:c r="P72" s="342">
        <x:f>SUM(M72:O72)</x:f>
      </x:c>
      <x:c r="Q72" s="0"/>
      <x:c r="R72" s="71">
        <x:f>IF(B72&gt;0,IF(TauxActuariel,((B72+1)^(1/NbEchAn))-1,B72/NbEchAn),R71)</x:f>
      </x:c>
      <x:c r="S72" s="70">
        <x:f>IF(E72&gt;0,E72,IF(D72&gt;0,IF(AND(EchFIXE,R72&gt;0),ROUND((L72-C72)*R72/(1-((1+R72)^-D72)),NbDeci),ROUND(L72/D72,NbDeci)),S71))</x:f>
      </x:c>
    </x:row>
    <x:row r="73" spans="1:31" x14ac:dyDescent="0.2">
      <x:c r="B73" s="334"/>
      <x:c r="C73" s="335"/>
      <x:c r="D73" s="336"/>
      <x:c r="E73" s="337"/>
      <x:c r="F73" s="338"/>
      <x:c r="H73" s="327">
        <x:f>IF(L73=0,"",H72+1)</x:f>
      </x:c>
      <x:c r="I73" s="328">
        <x:f>IF(L73&gt;0,NbEch+Différé+1-H73,"")</x:f>
      </x:c>
      <x:c r="J73" s="339">
        <x:f>IF(ISNUMBER(K73),YEAR(K73),"")</x:f>
      </x:c>
      <x:c r="K73" s="340">
        <x:f>IF(L73=0,"",IF(Ijour=0,MIN(DATE(YEAR(DebAmort),MONTH(DebAmort)+(H73-1)*Imois,Jour1),DATE(YEAR(DebAmort),MONTH(DebAmort)+1+(H73-1)*Imois,0)),DATE(YEAR(DebAmort),MONTH(DebAmort),Jour1+(H73-1)*Ijour)))</x:f>
      </x:c>
      <x:c r="L73" s="341">
        <x:f>L72-N72</x:f>
      </x:c>
      <x:c r="M73" s="331">
        <x:f>IF(H73&lt;=NoEchMaxi,ROUND(L73*R73,NbDeci),0)</x:f>
      </x:c>
      <x:c r="N73" s="330">
        <x:f>IF(OR(H73&lt;=Différé,H73&gt;NoEchMaxi),IF(DiffTotal,-M73,0),IF(H73&gt;=NoEchRemb,L73,IF(S73-(M73*EchFIXE)&gt;L73-2,L73,S73-(M73*EchFIXE))))+C73</x:f>
      </x:c>
      <x:c r="O73" s="332">
        <x:f>IF(OR(L73=0,H73&gt;NoEchMaxi),0,ROUND(FraisF+FraisV*L73,NbDeci))+F73</x:f>
      </x:c>
      <x:c r="P73" s="342">
        <x:f>SUM(M73:O73)</x:f>
      </x:c>
      <x:c r="Q73" s="0"/>
      <x:c r="R73" s="71">
        <x:f>IF(B73&gt;0,IF(TauxActuariel,((B73+1)^(1/NbEchAn))-1,B73/NbEchAn),R72)</x:f>
      </x:c>
      <x:c r="S73" s="70">
        <x:f>IF(E73&gt;0,E73,IF(D73&gt;0,IF(AND(EchFIXE,R73&gt;0),ROUND((L73-C73)*R73/(1-((1+R73)^-D73)),NbDeci),ROUND(L73/D73,NbDeci)),S72))</x:f>
      </x:c>
    </x:row>
    <x:row r="74" spans="1:31" x14ac:dyDescent="0.2">
      <x:c r="B74" s="334"/>
      <x:c r="C74" s="335"/>
      <x:c r="D74" s="336"/>
      <x:c r="E74" s="337"/>
      <x:c r="F74" s="338"/>
      <x:c r="H74" s="327">
        <x:f>IF(L74=0,"",H73+1)</x:f>
      </x:c>
      <x:c r="I74" s="328">
        <x:f>IF(L74&gt;0,NbEch+Différé+1-H74,"")</x:f>
      </x:c>
      <x:c r="J74" s="339">
        <x:f>IF(ISNUMBER(K74),YEAR(K74),"")</x:f>
      </x:c>
      <x:c r="K74" s="340">
        <x:f>IF(L74=0,"",IF(Ijour=0,MIN(DATE(YEAR(DebAmort),MONTH(DebAmort)+MoisD+(H74-1)*Imois,Jour2),DATE(YEAR(DebAmort),MONTH(DebAmort)+MoisD+1+(H74-1)*Imois,0)),DATE(YEAR(DebAmort),MONTH(DebAmort),Jour1+(H74-1)*Ijour)))</x:f>
      </x:c>
      <x:c r="L74" s="341">
        <x:f>L73-N73</x:f>
      </x:c>
      <x:c r="M74" s="331">
        <x:f>IF(H74&lt;=NoEchMaxi,ROUND(L74*R74,NbDeci),0)</x:f>
      </x:c>
      <x:c r="N74" s="330">
        <x:f>IF(OR(H74&lt;=Différé,H74&gt;NoEchMaxi),IF(DiffTotal,-M74,0),IF(H74&gt;=NoEchRemb,L74,IF(S74-(M74*EchFIXE)&gt;L74-2,L74,S74-(M74*EchFIXE))))+C74</x:f>
      </x:c>
      <x:c r="O74" s="332">
        <x:f>IF(OR(L74=0,H74&gt;NoEchMaxi),0,ROUND(FraisF+FraisV*L74,NbDeci))+F74</x:f>
      </x:c>
      <x:c r="P74" s="342">
        <x:f>SUM(M74:O74)</x:f>
      </x:c>
      <x:c r="Q74" s="0"/>
      <x:c r="R74" s="71">
        <x:f>IF(B74&gt;0,IF(TauxActuariel,((B74+1)^(1/NbEchAn))-1,B74/NbEchAn),R73)</x:f>
      </x:c>
      <x:c r="S74" s="70">
        <x:f>IF(E74&gt;0,E74,IF(D74&gt;0,IF(AND(EchFIXE,R74&gt;0),ROUND((L74-C74)*R74/(1-((1+R74)^-D74)),NbDeci),ROUND(L74/D74,NbDeci)),S73))</x:f>
      </x:c>
    </x:row>
    <x:row r="75" spans="1:31" x14ac:dyDescent="0.2">
      <x:c r="B75" s="334"/>
      <x:c r="C75" s="335"/>
      <x:c r="D75" s="336"/>
      <x:c r="E75" s="337"/>
      <x:c r="F75" s="338"/>
      <x:c r="H75" s="327">
        <x:f>IF(L75=0,"",H74+1)</x:f>
      </x:c>
      <x:c r="I75" s="328">
        <x:f>IF(L75&gt;0,NbEch+Différé+1-H75,"")</x:f>
      </x:c>
      <x:c r="J75" s="339">
        <x:f>IF(ISNUMBER(K75),YEAR(K75),"")</x:f>
      </x:c>
      <x:c r="K75" s="340">
        <x:f>IF(L75=0,"",IF(Ijour=0,MIN(DATE(YEAR(DebAmort),MONTH(DebAmort)+(H75-1)*Imois,Jour1),DATE(YEAR(DebAmort),MONTH(DebAmort)+1+(H75-1)*Imois,0)),DATE(YEAR(DebAmort),MONTH(DebAmort),Jour1+(H75-1)*Ijour)))</x:f>
      </x:c>
      <x:c r="L75" s="341">
        <x:f>L74-N74</x:f>
      </x:c>
      <x:c r="M75" s="331">
        <x:f>IF(H75&lt;=NoEchMaxi,ROUND(L75*R75,NbDeci),0)</x:f>
      </x:c>
      <x:c r="N75" s="330">
        <x:f>IF(OR(H75&lt;=Différé,H75&gt;NoEchMaxi),IF(DiffTotal,-M75,0),IF(H75&gt;=NoEchRemb,L75,IF(S75-(M75*EchFIXE)&gt;L75-2,L75,S75-(M75*EchFIXE))))+C75</x:f>
      </x:c>
      <x:c r="O75" s="332">
        <x:f>IF(OR(L75=0,H75&gt;NoEchMaxi),0,ROUND(FraisF+FraisV*L75,NbDeci))+F75</x:f>
      </x:c>
      <x:c r="P75" s="342">
        <x:f>SUM(M75:O75)</x:f>
      </x:c>
      <x:c r="Q75" s="0"/>
      <x:c r="R75" s="71">
        <x:f>IF(B75&gt;0,IF(TauxActuariel,((B75+1)^(1/NbEchAn))-1,B75/NbEchAn),R74)</x:f>
      </x:c>
      <x:c r="S75" s="70">
        <x:f>IF(E75&gt;0,E75,IF(D75&gt;0,IF(AND(EchFIXE,R75&gt;0),ROUND((L75-C75)*R75/(1-((1+R75)^-D75)),NbDeci),ROUND(L75/D75,NbDeci)),S74))</x:f>
      </x:c>
    </x:row>
    <x:row r="76" spans="1:31" x14ac:dyDescent="0.2">
      <x:c r="B76" s="334"/>
      <x:c r="C76" s="335"/>
      <x:c r="D76" s="336"/>
      <x:c r="E76" s="337"/>
      <x:c r="F76" s="338"/>
      <x:c r="H76" s="327">
        <x:f>IF(L76=0,"",H75+1)</x:f>
      </x:c>
      <x:c r="I76" s="328">
        <x:f>IF(L76&gt;0,NbEch+Différé+1-H76,"")</x:f>
      </x:c>
      <x:c r="J76" s="339">
        <x:f>IF(ISNUMBER(K76),YEAR(K76),"")</x:f>
      </x:c>
      <x:c r="K76" s="340">
        <x:f>IF(L76=0,"",IF(Ijour=0,MIN(DATE(YEAR(DebAmort),MONTH(DebAmort)+MoisD+(H76-1)*Imois,Jour2),DATE(YEAR(DebAmort),MONTH(DebAmort)+MoisD+1+(H76-1)*Imois,0)),DATE(YEAR(DebAmort),MONTH(DebAmort),Jour1+(H76-1)*Ijour)))</x:f>
      </x:c>
      <x:c r="L76" s="341">
        <x:f>L75-N75</x:f>
      </x:c>
      <x:c r="M76" s="331">
        <x:f>IF(H76&lt;=NoEchMaxi,ROUND(L76*R76,NbDeci),0)</x:f>
      </x:c>
      <x:c r="N76" s="330">
        <x:f>IF(OR(H76&lt;=Différé,H76&gt;NoEchMaxi),IF(DiffTotal,-M76,0),IF(H76&gt;=NoEchRemb,L76,IF(S76-(M76*EchFIXE)&gt;L76-2,L76,S76-(M76*EchFIXE))))+C76</x:f>
      </x:c>
      <x:c r="O76" s="332">
        <x:f>IF(OR(L76=0,H76&gt;NoEchMaxi),0,ROUND(FraisF+FraisV*L76,NbDeci))+F76</x:f>
      </x:c>
      <x:c r="P76" s="342">
        <x:f>SUM(M76:O76)</x:f>
      </x:c>
      <x:c r="Q76" s="0"/>
      <x:c r="R76" s="71">
        <x:f>IF(B76&gt;0,IF(TauxActuariel,((B76+1)^(1/NbEchAn))-1,B76/NbEchAn),R75)</x:f>
      </x:c>
      <x:c r="S76" s="70">
        <x:f>IF(E76&gt;0,E76,IF(D76&gt;0,IF(AND(EchFIXE,R76&gt;0),ROUND((L76-C76)*R76/(1-((1+R76)^-D76)),NbDeci),ROUND(L76/D76,NbDeci)),S75))</x:f>
      </x:c>
    </x:row>
    <x:row r="77" spans="1:31" x14ac:dyDescent="0.2">
      <x:c r="B77" s="334"/>
      <x:c r="C77" s="335"/>
      <x:c r="D77" s="336"/>
      <x:c r="E77" s="337"/>
      <x:c r="F77" s="338"/>
      <x:c r="H77" s="327">
        <x:f>IF(L77=0,"",H76+1)</x:f>
      </x:c>
      <x:c r="I77" s="328">
        <x:f>IF(L77&gt;0,NbEch+Différé+1-H77,"")</x:f>
      </x:c>
      <x:c r="J77" s="339">
        <x:f>IF(ISNUMBER(K77),YEAR(K77),"")</x:f>
      </x:c>
      <x:c r="K77" s="340">
        <x:f>IF(L77=0,"",IF(Ijour=0,MIN(DATE(YEAR(DebAmort),MONTH(DebAmort)+(H77-1)*Imois,Jour1),DATE(YEAR(DebAmort),MONTH(DebAmort)+1+(H77-1)*Imois,0)),DATE(YEAR(DebAmort),MONTH(DebAmort),Jour1+(H77-1)*Ijour)))</x:f>
      </x:c>
      <x:c r="L77" s="341">
        <x:f>L76-N76</x:f>
      </x:c>
      <x:c r="M77" s="331">
        <x:f>IF(H77&lt;=NoEchMaxi,ROUND(L77*R77,NbDeci),0)</x:f>
      </x:c>
      <x:c r="N77" s="330">
        <x:f>IF(OR(H77&lt;=Différé,H77&gt;NoEchMaxi),IF(DiffTotal,-M77,0),IF(H77&gt;=NoEchRemb,L77,IF(S77-(M77*EchFIXE)&gt;L77-2,L77,S77-(M77*EchFIXE))))+C77</x:f>
      </x:c>
      <x:c r="O77" s="332">
        <x:f>IF(OR(L77=0,H77&gt;NoEchMaxi),0,ROUND(FraisF+FraisV*L77,NbDeci))+F77</x:f>
      </x:c>
      <x:c r="P77" s="342">
        <x:f>SUM(M77:O77)</x:f>
      </x:c>
      <x:c r="Q77" s="0"/>
      <x:c r="R77" s="71">
        <x:f>IF(B77&gt;0,IF(TauxActuariel,((B77+1)^(1/NbEchAn))-1,B77/NbEchAn),R76)</x:f>
      </x:c>
      <x:c r="S77" s="70">
        <x:f>IF(E77&gt;0,E77,IF(D77&gt;0,IF(AND(EchFIXE,R77&gt;0),ROUND((L77-C77)*R77/(1-((1+R77)^-D77)),NbDeci),ROUND(L77/D77,NbDeci)),S76))</x:f>
      </x:c>
    </x:row>
    <x:row r="78" spans="1:31" x14ac:dyDescent="0.2">
      <x:c r="B78" s="334"/>
      <x:c r="C78" s="335"/>
      <x:c r="D78" s="336"/>
      <x:c r="E78" s="337"/>
      <x:c r="F78" s="338"/>
      <x:c r="H78" s="327">
        <x:f>IF(L78=0,"",H77+1)</x:f>
      </x:c>
      <x:c r="I78" s="328">
        <x:f>IF(L78&gt;0,NbEch+Différé+1-H78,"")</x:f>
      </x:c>
      <x:c r="J78" s="339">
        <x:f>IF(ISNUMBER(K78),YEAR(K78),"")</x:f>
      </x:c>
      <x:c r="K78" s="340">
        <x:f>IF(L78=0,"",IF(Ijour=0,MIN(DATE(YEAR(DebAmort),MONTH(DebAmort)+MoisD+(H78-1)*Imois,Jour2),DATE(YEAR(DebAmort),MONTH(DebAmort)+MoisD+1+(H78-1)*Imois,0)),DATE(YEAR(DebAmort),MONTH(DebAmort),Jour1+(H78-1)*Ijour)))</x:f>
      </x:c>
      <x:c r="L78" s="341">
        <x:f>L77-N77</x:f>
      </x:c>
      <x:c r="M78" s="331">
        <x:f>IF(H78&lt;=NoEchMaxi,ROUND(L78*R78,NbDeci),0)</x:f>
      </x:c>
      <x:c r="N78" s="330">
        <x:f>IF(OR(H78&lt;=Différé,H78&gt;NoEchMaxi),IF(DiffTotal,-M78,0),IF(H78&gt;=NoEchRemb,L78,IF(S78-(M78*EchFIXE)&gt;L78-2,L78,S78-(M78*EchFIXE))))+C78</x:f>
      </x:c>
      <x:c r="O78" s="332">
        <x:f>IF(OR(L78=0,H78&gt;NoEchMaxi),0,ROUND(FraisF+FraisV*L78,NbDeci))+F78</x:f>
      </x:c>
      <x:c r="P78" s="342">
        <x:f>SUM(M78:O78)</x:f>
      </x:c>
      <x:c r="Q78" s="0"/>
      <x:c r="R78" s="71">
        <x:f>IF(B78&gt;0,IF(TauxActuariel,((B78+1)^(1/NbEchAn))-1,B78/NbEchAn),R77)</x:f>
      </x:c>
      <x:c r="S78" s="70">
        <x:f>IF(E78&gt;0,E78,IF(D78&gt;0,IF(AND(EchFIXE,R78&gt;0),ROUND((L78-C78)*R78/(1-((1+R78)^-D78)),NbDeci),ROUND(L78/D78,NbDeci)),S77))</x:f>
      </x:c>
    </x:row>
    <x:row r="79" spans="1:31" x14ac:dyDescent="0.2">
      <x:c r="B79" s="334"/>
      <x:c r="C79" s="335"/>
      <x:c r="D79" s="336"/>
      <x:c r="E79" s="337"/>
      <x:c r="F79" s="338"/>
      <x:c r="H79" s="327">
        <x:f>IF(L79=0,"",H78+1)</x:f>
      </x:c>
      <x:c r="I79" s="328">
        <x:f>IF(L79&gt;0,NbEch+Différé+1-H79,"")</x:f>
      </x:c>
      <x:c r="J79" s="339">
        <x:f>IF(ISNUMBER(K79),YEAR(K79),"")</x:f>
      </x:c>
      <x:c r="K79" s="340">
        <x:f>IF(L79=0,"",IF(Ijour=0,MIN(DATE(YEAR(DebAmort),MONTH(DebAmort)+(H79-1)*Imois,Jour1),DATE(YEAR(DebAmort),MONTH(DebAmort)+1+(H79-1)*Imois,0)),DATE(YEAR(DebAmort),MONTH(DebAmort),Jour1+(H79-1)*Ijour)))</x:f>
      </x:c>
      <x:c r="L79" s="341">
        <x:f>L78-N78</x:f>
      </x:c>
      <x:c r="M79" s="331">
        <x:f>IF(H79&lt;=NoEchMaxi,ROUND(L79*R79,NbDeci),0)</x:f>
      </x:c>
      <x:c r="N79" s="330">
        <x:f>IF(OR(H79&lt;=Différé,H79&gt;NoEchMaxi),IF(DiffTotal,-M79,0),IF(H79&gt;=NoEchRemb,L79,IF(S79-(M79*EchFIXE)&gt;L79-2,L79,S79-(M79*EchFIXE))))+C79</x:f>
      </x:c>
      <x:c r="O79" s="332">
        <x:f>IF(OR(L79=0,H79&gt;NoEchMaxi),0,ROUND(FraisF+FraisV*L79,NbDeci))+F79</x:f>
      </x:c>
      <x:c r="P79" s="342">
        <x:f>SUM(M79:O79)</x:f>
      </x:c>
      <x:c r="Q79" s="0"/>
      <x:c r="R79" s="71">
        <x:f>IF(B79&gt;0,IF(TauxActuariel,((B79+1)^(1/NbEchAn))-1,B79/NbEchAn),R78)</x:f>
      </x:c>
      <x:c r="S79" s="70">
        <x:f>IF(E79&gt;0,E79,IF(D79&gt;0,IF(AND(EchFIXE,R79&gt;0),ROUND((L79-C79)*R79/(1-((1+R79)^-D79)),NbDeci),ROUND(L79/D79,NbDeci)),S78))</x:f>
      </x:c>
    </x:row>
    <x:row r="80" spans="1:31" x14ac:dyDescent="0.2">
      <x:c r="B80" s="334"/>
      <x:c r="C80" s="335"/>
      <x:c r="D80" s="336"/>
      <x:c r="E80" s="337"/>
      <x:c r="F80" s="338"/>
      <x:c r="H80" s="327">
        <x:f>IF(L80=0,"",H79+1)</x:f>
      </x:c>
      <x:c r="I80" s="328">
        <x:f>IF(L80&gt;0,NbEch+Différé+1-H80,"")</x:f>
      </x:c>
      <x:c r="J80" s="339">
        <x:f>IF(ISNUMBER(K80),YEAR(K80),"")</x:f>
      </x:c>
      <x:c r="K80" s="340">
        <x:f>IF(L80=0,"",IF(Ijour=0,MIN(DATE(YEAR(DebAmort),MONTH(DebAmort)+MoisD+(H80-1)*Imois,Jour2),DATE(YEAR(DebAmort),MONTH(DebAmort)+MoisD+1+(H80-1)*Imois,0)),DATE(YEAR(DebAmort),MONTH(DebAmort),Jour1+(H80-1)*Ijour)))</x:f>
      </x:c>
      <x:c r="L80" s="341">
        <x:f>L79-N79</x:f>
      </x:c>
      <x:c r="M80" s="331">
        <x:f>IF(H80&lt;=NoEchMaxi,ROUND(L80*R80,NbDeci),0)</x:f>
      </x:c>
      <x:c r="N80" s="330">
        <x:f>IF(OR(H80&lt;=Différé,H80&gt;NoEchMaxi),IF(DiffTotal,-M80,0),IF(H80&gt;=NoEchRemb,L80,IF(S80-(M80*EchFIXE)&gt;L80-2,L80,S80-(M80*EchFIXE))))+C80</x:f>
      </x:c>
      <x:c r="O80" s="332">
        <x:f>IF(OR(L80=0,H80&gt;NoEchMaxi),0,ROUND(FraisF+FraisV*L80,NbDeci))+F80</x:f>
      </x:c>
      <x:c r="P80" s="342">
        <x:f>SUM(M80:O80)</x:f>
      </x:c>
      <x:c r="Q80" s="0"/>
      <x:c r="R80" s="71">
        <x:f>IF(B80&gt;0,IF(TauxActuariel,((B80+1)^(1/NbEchAn))-1,B80/NbEchAn),R79)</x:f>
      </x:c>
      <x:c r="S80" s="70">
        <x:f>IF(E80&gt;0,E80,IF(D80&gt;0,IF(AND(EchFIXE,R80&gt;0),ROUND((L80-C80)*R80/(1-((1+R80)^-D80)),NbDeci),ROUND(L80/D80,NbDeci)),S79))</x:f>
      </x:c>
    </x:row>
    <x:row r="81" spans="1:31" x14ac:dyDescent="0.2">
      <x:c r="B81" s="334"/>
      <x:c r="C81" s="335"/>
      <x:c r="D81" s="336"/>
      <x:c r="E81" s="337"/>
      <x:c r="F81" s="338"/>
      <x:c r="H81" s="327">
        <x:f>IF(L81=0,"",H80+1)</x:f>
      </x:c>
      <x:c r="I81" s="328">
        <x:f>IF(L81&gt;0,NbEch+Différé+1-H81,"")</x:f>
      </x:c>
      <x:c r="J81" s="339">
        <x:f>IF(ISNUMBER(K81),YEAR(K81),"")</x:f>
      </x:c>
      <x:c r="K81" s="340">
        <x:f>IF(L81=0,"",IF(Ijour=0,MIN(DATE(YEAR(DebAmort),MONTH(DebAmort)+(H81-1)*Imois,Jour1),DATE(YEAR(DebAmort),MONTH(DebAmort)+1+(H81-1)*Imois,0)),DATE(YEAR(DebAmort),MONTH(DebAmort),Jour1+(H81-1)*Ijour)))</x:f>
      </x:c>
      <x:c r="L81" s="341">
        <x:f>L80-N80</x:f>
      </x:c>
      <x:c r="M81" s="331">
        <x:f>IF(H81&lt;=NoEchMaxi,ROUND(L81*R81,NbDeci),0)</x:f>
      </x:c>
      <x:c r="N81" s="330">
        <x:f>IF(OR(H81&lt;=Différé,H81&gt;NoEchMaxi),IF(DiffTotal,-M81,0),IF(H81&gt;=NoEchRemb,L81,IF(S81-(M81*EchFIXE)&gt;L81-2,L81,S81-(M81*EchFIXE))))+C81</x:f>
      </x:c>
      <x:c r="O81" s="332">
        <x:f>IF(OR(L81=0,H81&gt;NoEchMaxi),0,ROUND(FraisF+FraisV*L81,NbDeci))+F81</x:f>
      </x:c>
      <x:c r="P81" s="342">
        <x:f>SUM(M81:O81)</x:f>
      </x:c>
      <x:c r="Q81" s="0"/>
      <x:c r="R81" s="71">
        <x:f>IF(B81&gt;0,IF(TauxActuariel,((B81+1)^(1/NbEchAn))-1,B81/NbEchAn),R80)</x:f>
      </x:c>
      <x:c r="S81" s="70">
        <x:f>IF(E81&gt;0,E81,IF(D81&gt;0,IF(AND(EchFIXE,R81&gt;0),ROUND((L81-C81)*R81/(1-((1+R81)^-D81)),NbDeci),ROUND(L81/D81,NbDeci)),S80))</x:f>
      </x:c>
    </x:row>
    <x:row r="82" spans="1:31" x14ac:dyDescent="0.2">
      <x:c r="B82" s="334"/>
      <x:c r="C82" s="335"/>
      <x:c r="D82" s="336"/>
      <x:c r="E82" s="337"/>
      <x:c r="F82" s="338"/>
      <x:c r="H82" s="327">
        <x:f>IF(L82=0,"",H81+1)</x:f>
      </x:c>
      <x:c r="I82" s="328">
        <x:f>IF(L82&gt;0,NbEch+Différé+1-H82,"")</x:f>
      </x:c>
      <x:c r="J82" s="339">
        <x:f>IF(ISNUMBER(K82),YEAR(K82),"")</x:f>
      </x:c>
      <x:c r="K82" s="340">
        <x:f>IF(L82=0,"",IF(Ijour=0,MIN(DATE(YEAR(DebAmort),MONTH(DebAmort)+MoisD+(H82-1)*Imois,Jour2),DATE(YEAR(DebAmort),MONTH(DebAmort)+MoisD+1+(H82-1)*Imois,0)),DATE(YEAR(DebAmort),MONTH(DebAmort),Jour1+(H82-1)*Ijour)))</x:f>
      </x:c>
      <x:c r="L82" s="341">
        <x:f>L81-N81</x:f>
      </x:c>
      <x:c r="M82" s="331">
        <x:f>IF(H82&lt;=NoEchMaxi,ROUND(L82*R82,NbDeci),0)</x:f>
      </x:c>
      <x:c r="N82" s="330">
        <x:f>IF(OR(H82&lt;=Différé,H82&gt;NoEchMaxi),IF(DiffTotal,-M82,0),IF(H82&gt;=NoEchRemb,L82,IF(S82-(M82*EchFIXE)&gt;L82-2,L82,S82-(M82*EchFIXE))))+C82</x:f>
      </x:c>
      <x:c r="O82" s="332">
        <x:f>IF(OR(L82=0,H82&gt;NoEchMaxi),0,ROUND(FraisF+FraisV*L82,NbDeci))+F82</x:f>
      </x:c>
      <x:c r="P82" s="342">
        <x:f>SUM(M82:O82)</x:f>
      </x:c>
      <x:c r="Q82" s="0"/>
      <x:c r="R82" s="71">
        <x:f>IF(B82&gt;0,IF(TauxActuariel,((B82+1)^(1/NbEchAn))-1,B82/NbEchAn),R81)</x:f>
      </x:c>
      <x:c r="S82" s="70">
        <x:f>IF(E82&gt;0,E82,IF(D82&gt;0,IF(AND(EchFIXE,R82&gt;0),ROUND((L82-C82)*R82/(1-((1+R82)^-D82)),NbDeci),ROUND(L82/D82,NbDeci)),S81))</x:f>
      </x:c>
    </x:row>
    <x:row r="83" spans="1:31" x14ac:dyDescent="0.2">
      <x:c r="B83" s="334"/>
      <x:c r="C83" s="335"/>
      <x:c r="D83" s="336"/>
      <x:c r="E83" s="337"/>
      <x:c r="F83" s="338"/>
      <x:c r="H83" s="327">
        <x:f>IF(L83=0,"",H82+1)</x:f>
      </x:c>
      <x:c r="I83" s="328">
        <x:f>IF(L83&gt;0,NbEch+Différé+1-H83,"")</x:f>
      </x:c>
      <x:c r="J83" s="339">
        <x:f>IF(ISNUMBER(K83),YEAR(K83),"")</x:f>
      </x:c>
      <x:c r="K83" s="340">
        <x:f>IF(L83=0,"",IF(Ijour=0,MIN(DATE(YEAR(DebAmort),MONTH(DebAmort)+(H83-1)*Imois,Jour1),DATE(YEAR(DebAmort),MONTH(DebAmort)+1+(H83-1)*Imois,0)),DATE(YEAR(DebAmort),MONTH(DebAmort),Jour1+(H83-1)*Ijour)))</x:f>
      </x:c>
      <x:c r="L83" s="341">
        <x:f>L82-N82</x:f>
      </x:c>
      <x:c r="M83" s="331">
        <x:f>IF(H83&lt;=NoEchMaxi,ROUND(L83*R83,NbDeci),0)</x:f>
      </x:c>
      <x:c r="N83" s="330">
        <x:f>IF(OR(H83&lt;=Différé,H83&gt;NoEchMaxi),IF(DiffTotal,-M83,0),IF(H83&gt;=NoEchRemb,L83,IF(S83-(M83*EchFIXE)&gt;L83-2,L83,S83-(M83*EchFIXE))))+C83</x:f>
      </x:c>
      <x:c r="O83" s="332">
        <x:f>IF(OR(L83=0,H83&gt;NoEchMaxi),0,ROUND(FraisF+FraisV*L83,NbDeci))+F83</x:f>
      </x:c>
      <x:c r="P83" s="342">
        <x:f>SUM(M83:O83)</x:f>
      </x:c>
      <x:c r="Q83" s="0"/>
      <x:c r="R83" s="71">
        <x:f>IF(B83&gt;0,IF(TauxActuariel,((B83+1)^(1/NbEchAn))-1,B83/NbEchAn),R82)</x:f>
      </x:c>
      <x:c r="S83" s="70">
        <x:f>IF(E83&gt;0,E83,IF(D83&gt;0,IF(AND(EchFIXE,R83&gt;0),ROUND((L83-C83)*R83/(1-((1+R83)^-D83)),NbDeci),ROUND(L83/D83,NbDeci)),S82))</x:f>
      </x:c>
    </x:row>
    <x:row r="84" spans="1:31" x14ac:dyDescent="0.2">
      <x:c r="B84" s="334"/>
      <x:c r="C84" s="335"/>
      <x:c r="D84" s="336"/>
      <x:c r="E84" s="337"/>
      <x:c r="F84" s="338"/>
      <x:c r="H84" s="327">
        <x:f>IF(L84=0,"",H83+1)</x:f>
      </x:c>
      <x:c r="I84" s="328">
        <x:f>IF(L84&gt;0,NbEch+Différé+1-H84,"")</x:f>
      </x:c>
      <x:c r="J84" s="339">
        <x:f>IF(ISNUMBER(K84),YEAR(K84),"")</x:f>
      </x:c>
      <x:c r="K84" s="340">
        <x:f>IF(L84=0,"",IF(Ijour=0,MIN(DATE(YEAR(DebAmort),MONTH(DebAmort)+MoisD+(H84-1)*Imois,Jour2),DATE(YEAR(DebAmort),MONTH(DebAmort)+MoisD+1+(H84-1)*Imois,0)),DATE(YEAR(DebAmort),MONTH(DebAmort),Jour1+(H84-1)*Ijour)))</x:f>
      </x:c>
      <x:c r="L84" s="341">
        <x:f>L83-N83</x:f>
      </x:c>
      <x:c r="M84" s="331">
        <x:f>IF(H84&lt;=NoEchMaxi,ROUND(L84*R84,NbDeci),0)</x:f>
      </x:c>
      <x:c r="N84" s="330">
        <x:f>IF(OR(H84&lt;=Différé,H84&gt;NoEchMaxi),IF(DiffTotal,-M84,0),IF(H84&gt;=NoEchRemb,L84,IF(S84-(M84*EchFIXE)&gt;L84-2,L84,S84-(M84*EchFIXE))))+C84</x:f>
      </x:c>
      <x:c r="O84" s="332">
        <x:f>IF(OR(L84=0,H84&gt;NoEchMaxi),0,ROUND(FraisF+FraisV*L84,NbDeci))+F84</x:f>
      </x:c>
      <x:c r="P84" s="342">
        <x:f>SUM(M84:O84)</x:f>
      </x:c>
      <x:c r="Q84" s="0"/>
      <x:c r="R84" s="71">
        <x:f>IF(B84&gt;0,IF(TauxActuariel,((B84+1)^(1/NbEchAn))-1,B84/NbEchAn),R83)</x:f>
      </x:c>
      <x:c r="S84" s="70">
        <x:f>IF(E84&gt;0,E84,IF(D84&gt;0,IF(AND(EchFIXE,R84&gt;0),ROUND((L84-C84)*R84/(1-((1+R84)^-D84)),NbDeci),ROUND(L84/D84,NbDeci)),S83))</x:f>
      </x:c>
    </x:row>
    <x:row r="85" spans="1:31" x14ac:dyDescent="0.2">
      <x:c r="B85" s="334"/>
      <x:c r="C85" s="335"/>
      <x:c r="D85" s="336"/>
      <x:c r="E85" s="337"/>
      <x:c r="F85" s="338"/>
      <x:c r="H85" s="327">
        <x:f>IF(L85=0,"",H84+1)</x:f>
      </x:c>
      <x:c r="I85" s="328">
        <x:f>IF(L85&gt;0,NbEch+Différé+1-H85,"")</x:f>
      </x:c>
      <x:c r="J85" s="339">
        <x:f>IF(ISNUMBER(K85),YEAR(K85),"")</x:f>
      </x:c>
      <x:c r="K85" s="340">
        <x:f>IF(L85=0,"",IF(Ijour=0,MIN(DATE(YEAR(DebAmort),MONTH(DebAmort)+(H85-1)*Imois,Jour1),DATE(YEAR(DebAmort),MONTH(DebAmort)+1+(H85-1)*Imois,0)),DATE(YEAR(DebAmort),MONTH(DebAmort),Jour1+(H85-1)*Ijour)))</x:f>
      </x:c>
      <x:c r="L85" s="341">
        <x:f>L84-N84</x:f>
      </x:c>
      <x:c r="M85" s="331">
        <x:f>IF(H85&lt;=NoEchMaxi,ROUND(L85*R85,NbDeci),0)</x:f>
      </x:c>
      <x:c r="N85" s="330">
        <x:f>IF(OR(H85&lt;=Différé,H85&gt;NoEchMaxi),IF(DiffTotal,-M85,0),IF(H85&gt;=NoEchRemb,L85,IF(S85-(M85*EchFIXE)&gt;L85-2,L85,S85-(M85*EchFIXE))))+C85</x:f>
      </x:c>
      <x:c r="O85" s="332">
        <x:f>IF(OR(L85=0,H85&gt;NoEchMaxi),0,ROUND(FraisF+FraisV*L85,NbDeci))+F85</x:f>
      </x:c>
      <x:c r="P85" s="342">
        <x:f>SUM(M85:O85)</x:f>
      </x:c>
      <x:c r="Q85" s="0"/>
      <x:c r="R85" s="71">
        <x:f>IF(B85&gt;0,IF(TauxActuariel,((B85+1)^(1/NbEchAn))-1,B85/NbEchAn),R84)</x:f>
      </x:c>
      <x:c r="S85" s="70">
        <x:f>IF(E85&gt;0,E85,IF(D85&gt;0,IF(AND(EchFIXE,R85&gt;0),ROUND((L85-C85)*R85/(1-((1+R85)^-D85)),NbDeci),ROUND(L85/D85,NbDeci)),S84))</x:f>
      </x:c>
    </x:row>
    <x:row r="86" spans="1:31" x14ac:dyDescent="0.2">
      <x:c r="B86" s="334"/>
      <x:c r="C86" s="335"/>
      <x:c r="D86" s="336"/>
      <x:c r="E86" s="337"/>
      <x:c r="F86" s="338"/>
      <x:c r="H86" s="327">
        <x:f>IF(L86=0,"",H85+1)</x:f>
      </x:c>
      <x:c r="I86" s="328">
        <x:f>IF(L86&gt;0,NbEch+Différé+1-H86,"")</x:f>
      </x:c>
      <x:c r="J86" s="339">
        <x:f>IF(ISNUMBER(K86),YEAR(K86),"")</x:f>
      </x:c>
      <x:c r="K86" s="340">
        <x:f>IF(L86=0,"",IF(Ijour=0,MIN(DATE(YEAR(DebAmort),MONTH(DebAmort)+MoisD+(H86-1)*Imois,Jour2),DATE(YEAR(DebAmort),MONTH(DebAmort)+MoisD+1+(H86-1)*Imois,0)),DATE(YEAR(DebAmort),MONTH(DebAmort),Jour1+(H86-1)*Ijour)))</x:f>
      </x:c>
      <x:c r="L86" s="341">
        <x:f>L85-N85</x:f>
      </x:c>
      <x:c r="M86" s="331">
        <x:f>IF(H86&lt;=NoEchMaxi,ROUND(L86*R86,NbDeci),0)</x:f>
      </x:c>
      <x:c r="N86" s="330">
        <x:f>IF(OR(H86&lt;=Différé,H86&gt;NoEchMaxi),IF(DiffTotal,-M86,0),IF(H86&gt;=NoEchRemb,L86,IF(S86-(M86*EchFIXE)&gt;L86-2,L86,S86-(M86*EchFIXE))))+C86</x:f>
      </x:c>
      <x:c r="O86" s="332">
        <x:f>IF(OR(L86=0,H86&gt;NoEchMaxi),0,ROUND(FraisF+FraisV*L86,NbDeci))+F86</x:f>
      </x:c>
      <x:c r="P86" s="342">
        <x:f>SUM(M86:O86)</x:f>
      </x:c>
      <x:c r="Q86" s="0"/>
      <x:c r="R86" s="71">
        <x:f>IF(B86&gt;0,IF(TauxActuariel,((B86+1)^(1/NbEchAn))-1,B86/NbEchAn),R85)</x:f>
      </x:c>
      <x:c r="S86" s="70">
        <x:f>IF(E86&gt;0,E86,IF(D86&gt;0,IF(AND(EchFIXE,R86&gt;0),ROUND((L86-C86)*R86/(1-((1+R86)^-D86)),NbDeci),ROUND(L86/D86,NbDeci)),S85))</x:f>
      </x:c>
    </x:row>
    <x:row r="87" spans="1:31" x14ac:dyDescent="0.2">
      <x:c r="B87" s="334"/>
      <x:c r="C87" s="335"/>
      <x:c r="D87" s="336"/>
      <x:c r="E87" s="337"/>
      <x:c r="F87" s="338"/>
      <x:c r="H87" s="327">
        <x:f>IF(L87=0,"",H86+1)</x:f>
      </x:c>
      <x:c r="I87" s="328">
        <x:f>IF(L87&gt;0,NbEch+Différé+1-H87,"")</x:f>
      </x:c>
      <x:c r="J87" s="339">
        <x:f>IF(ISNUMBER(K87),YEAR(K87),"")</x:f>
      </x:c>
      <x:c r="K87" s="340">
        <x:f>IF(L87=0,"",IF(Ijour=0,MIN(DATE(YEAR(DebAmort),MONTH(DebAmort)+(H87-1)*Imois,Jour1),DATE(YEAR(DebAmort),MONTH(DebAmort)+1+(H87-1)*Imois,0)),DATE(YEAR(DebAmort),MONTH(DebAmort),Jour1+(H87-1)*Ijour)))</x:f>
      </x:c>
      <x:c r="L87" s="341">
        <x:f>L86-N86</x:f>
      </x:c>
      <x:c r="M87" s="331">
        <x:f>IF(H87&lt;=NoEchMaxi,ROUND(L87*R87,NbDeci),0)</x:f>
      </x:c>
      <x:c r="N87" s="330">
        <x:f>IF(OR(H87&lt;=Différé,H87&gt;NoEchMaxi),IF(DiffTotal,-M87,0),IF(H87&gt;=NoEchRemb,L87,IF(S87-(M87*EchFIXE)&gt;L87-2,L87,S87-(M87*EchFIXE))))+C87</x:f>
      </x:c>
      <x:c r="O87" s="332">
        <x:f>IF(OR(L87=0,H87&gt;NoEchMaxi),0,ROUND(FraisF+FraisV*L87,NbDeci))+F87</x:f>
      </x:c>
      <x:c r="P87" s="342">
        <x:f>SUM(M87:O87)</x:f>
      </x:c>
      <x:c r="Q87" s="0"/>
      <x:c r="R87" s="71">
        <x:f>IF(B87&gt;0,IF(TauxActuariel,((B87+1)^(1/NbEchAn))-1,B87/NbEchAn),R86)</x:f>
      </x:c>
      <x:c r="S87" s="70">
        <x:f>IF(E87&gt;0,E87,IF(D87&gt;0,IF(AND(EchFIXE,R87&gt;0),ROUND((L87-C87)*R87/(1-((1+R87)^-D87)),NbDeci),ROUND(L87/D87,NbDeci)),S86))</x:f>
      </x:c>
    </x:row>
    <x:row r="88" spans="1:31" x14ac:dyDescent="0.2">
      <x:c r="B88" s="334"/>
      <x:c r="C88" s="335"/>
      <x:c r="D88" s="336"/>
      <x:c r="E88" s="337"/>
      <x:c r="F88" s="338"/>
      <x:c r="H88" s="327">
        <x:f>IF(L88=0,"",H87+1)</x:f>
      </x:c>
      <x:c r="I88" s="328">
        <x:f>IF(L88&gt;0,NbEch+Différé+1-H88,"")</x:f>
      </x:c>
      <x:c r="J88" s="339">
        <x:f>IF(ISNUMBER(K88),YEAR(K88),"")</x:f>
      </x:c>
      <x:c r="K88" s="340">
        <x:f>IF(L88=0,"",IF(Ijour=0,MIN(DATE(YEAR(DebAmort),MONTH(DebAmort)+MoisD+(H88-1)*Imois,Jour2),DATE(YEAR(DebAmort),MONTH(DebAmort)+MoisD+1+(H88-1)*Imois,0)),DATE(YEAR(DebAmort),MONTH(DebAmort),Jour1+(H88-1)*Ijour)))</x:f>
      </x:c>
      <x:c r="L88" s="341">
        <x:f>L87-N87</x:f>
      </x:c>
      <x:c r="M88" s="331">
        <x:f>IF(H88&lt;=NoEchMaxi,ROUND(L88*R88,NbDeci),0)</x:f>
      </x:c>
      <x:c r="N88" s="330">
        <x:f>IF(OR(H88&lt;=Différé,H88&gt;NoEchMaxi),IF(DiffTotal,-M88,0),IF(H88&gt;=NoEchRemb,L88,IF(S88-(M88*EchFIXE)&gt;L88-2,L88,S88-(M88*EchFIXE))))+C88</x:f>
      </x:c>
      <x:c r="O88" s="332">
        <x:f>IF(OR(L88=0,H88&gt;NoEchMaxi),0,ROUND(FraisF+FraisV*L88,NbDeci))+F88</x:f>
      </x:c>
      <x:c r="P88" s="342">
        <x:f>SUM(M88:O88)</x:f>
      </x:c>
      <x:c r="Q88" s="0"/>
      <x:c r="R88" s="71">
        <x:f>IF(B88&gt;0,IF(TauxActuariel,((B88+1)^(1/NbEchAn))-1,B88/NbEchAn),R87)</x:f>
      </x:c>
      <x:c r="S88" s="70">
        <x:f>IF(E88&gt;0,E88,IF(D88&gt;0,IF(AND(EchFIXE,R88&gt;0),ROUND((L88-C88)*R88/(1-((1+R88)^-D88)),NbDeci),ROUND(L88/D88,NbDeci)),S87))</x:f>
      </x:c>
    </x:row>
    <x:row r="89" spans="1:31" x14ac:dyDescent="0.2">
      <x:c r="B89" s="334"/>
      <x:c r="C89" s="335"/>
      <x:c r="D89" s="336"/>
      <x:c r="E89" s="337"/>
      <x:c r="F89" s="338"/>
      <x:c r="H89" s="327">
        <x:f>IF(L89=0,"",H88+1)</x:f>
      </x:c>
      <x:c r="I89" s="328">
        <x:f>IF(L89&gt;0,NbEch+Différé+1-H89,"")</x:f>
      </x:c>
      <x:c r="J89" s="339">
        <x:f>IF(ISNUMBER(K89),YEAR(K89),"")</x:f>
      </x:c>
      <x:c r="K89" s="340">
        <x:f>IF(L89=0,"",IF(Ijour=0,MIN(DATE(YEAR(DebAmort),MONTH(DebAmort)+(H89-1)*Imois,Jour1),DATE(YEAR(DebAmort),MONTH(DebAmort)+1+(H89-1)*Imois,0)),DATE(YEAR(DebAmort),MONTH(DebAmort),Jour1+(H89-1)*Ijour)))</x:f>
      </x:c>
      <x:c r="L89" s="341">
        <x:f>L88-N88</x:f>
      </x:c>
      <x:c r="M89" s="331">
        <x:f>IF(H89&lt;=NoEchMaxi,ROUND(L89*R89,NbDeci),0)</x:f>
      </x:c>
      <x:c r="N89" s="330">
        <x:f>IF(OR(H89&lt;=Différé,H89&gt;NoEchMaxi),IF(DiffTotal,-M89,0),IF(H89&gt;=NoEchRemb,L89,IF(S89-(M89*EchFIXE)&gt;L89-2,L89,S89-(M89*EchFIXE))))+C89</x:f>
      </x:c>
      <x:c r="O89" s="332">
        <x:f>IF(OR(L89=0,H89&gt;NoEchMaxi),0,ROUND(FraisF+FraisV*L89,NbDeci))+F89</x:f>
      </x:c>
      <x:c r="P89" s="342">
        <x:f>SUM(M89:O89)</x:f>
      </x:c>
      <x:c r="Q89" s="0"/>
      <x:c r="R89" s="71">
        <x:f>IF(B89&gt;0,IF(TauxActuariel,((B89+1)^(1/NbEchAn))-1,B89/NbEchAn),R88)</x:f>
      </x:c>
      <x:c r="S89" s="70">
        <x:f>IF(E89&gt;0,E89,IF(D89&gt;0,IF(AND(EchFIXE,R89&gt;0),ROUND((L89-C89)*R89/(1-((1+R89)^-D89)),NbDeci),ROUND(L89/D89,NbDeci)),S88))</x:f>
      </x:c>
    </x:row>
    <x:row r="90" spans="1:31" x14ac:dyDescent="0.2">
      <x:c r="B90" s="334"/>
      <x:c r="C90" s="335"/>
      <x:c r="D90" s="336"/>
      <x:c r="E90" s="337"/>
      <x:c r="F90" s="338"/>
      <x:c r="H90" s="327">
        <x:f>IF(L90=0,"",H89+1)</x:f>
      </x:c>
      <x:c r="I90" s="328">
        <x:f>IF(L90&gt;0,NbEch+Différé+1-H90,"")</x:f>
      </x:c>
      <x:c r="J90" s="339">
        <x:f>IF(ISNUMBER(K90),YEAR(K90),"")</x:f>
      </x:c>
      <x:c r="K90" s="340">
        <x:f>IF(L90=0,"",IF(Ijour=0,MIN(DATE(YEAR(DebAmort),MONTH(DebAmort)+MoisD+(H90-1)*Imois,Jour2),DATE(YEAR(DebAmort),MONTH(DebAmort)+MoisD+1+(H90-1)*Imois,0)),DATE(YEAR(DebAmort),MONTH(DebAmort),Jour1+(H90-1)*Ijour)))</x:f>
      </x:c>
      <x:c r="L90" s="341">
        <x:f>L89-N89</x:f>
      </x:c>
      <x:c r="M90" s="331">
        <x:f>IF(H90&lt;=NoEchMaxi,ROUND(L90*R90,NbDeci),0)</x:f>
      </x:c>
      <x:c r="N90" s="330">
        <x:f>IF(OR(H90&lt;=Différé,H90&gt;NoEchMaxi),IF(DiffTotal,-M90,0),IF(H90&gt;=NoEchRemb,L90,IF(S90-(M90*EchFIXE)&gt;L90-2,L90,S90-(M90*EchFIXE))))+C90</x:f>
      </x:c>
      <x:c r="O90" s="332">
        <x:f>IF(OR(L90=0,H90&gt;NoEchMaxi),0,ROUND(FraisF+FraisV*L90,NbDeci))+F90</x:f>
      </x:c>
      <x:c r="P90" s="342">
        <x:f>SUM(M90:O90)</x:f>
      </x:c>
      <x:c r="Q90" s="0"/>
      <x:c r="R90" s="71">
        <x:f>IF(B90&gt;0,IF(TauxActuariel,((B90+1)^(1/NbEchAn))-1,B90/NbEchAn),R89)</x:f>
      </x:c>
      <x:c r="S90" s="70">
        <x:f>IF(E90&gt;0,E90,IF(D90&gt;0,IF(AND(EchFIXE,R90&gt;0),ROUND((L90-C90)*R90/(1-((1+R90)^-D90)),NbDeci),ROUND(L90/D90,NbDeci)),S89))</x:f>
      </x:c>
    </x:row>
    <x:row r="91" spans="1:31" x14ac:dyDescent="0.2">
      <x:c r="B91" s="334"/>
      <x:c r="C91" s="335"/>
      <x:c r="D91" s="336"/>
      <x:c r="E91" s="337"/>
      <x:c r="F91" s="338"/>
      <x:c r="H91" s="327">
        <x:f>IF(L91=0,"",H90+1)</x:f>
      </x:c>
      <x:c r="I91" s="328">
        <x:f>IF(L91&gt;0,NbEch+Différé+1-H91,"")</x:f>
      </x:c>
      <x:c r="J91" s="339">
        <x:f>IF(ISNUMBER(K91),YEAR(K91),"")</x:f>
      </x:c>
      <x:c r="K91" s="340">
        <x:f>IF(L91=0,"",IF(Ijour=0,MIN(DATE(YEAR(DebAmort),MONTH(DebAmort)+(H91-1)*Imois,Jour1),DATE(YEAR(DebAmort),MONTH(DebAmort)+1+(H91-1)*Imois,0)),DATE(YEAR(DebAmort),MONTH(DebAmort),Jour1+(H91-1)*Ijour)))</x:f>
      </x:c>
      <x:c r="L91" s="341">
        <x:f>L90-N90</x:f>
      </x:c>
      <x:c r="M91" s="331">
        <x:f>IF(H91&lt;=NoEchMaxi,ROUND(L91*R91,NbDeci),0)</x:f>
      </x:c>
      <x:c r="N91" s="330">
        <x:f>IF(OR(H91&lt;=Différé,H91&gt;NoEchMaxi),IF(DiffTotal,-M91,0),IF(H91&gt;=NoEchRemb,L91,IF(S91-(M91*EchFIXE)&gt;L91-2,L91,S91-(M91*EchFIXE))))+C91</x:f>
      </x:c>
      <x:c r="O91" s="332">
        <x:f>IF(OR(L91=0,H91&gt;NoEchMaxi),0,ROUND(FraisF+FraisV*L91,NbDeci))+F91</x:f>
      </x:c>
      <x:c r="P91" s="342">
        <x:f>SUM(M91:O91)</x:f>
      </x:c>
      <x:c r="Q91" s="0"/>
      <x:c r="R91" s="71">
        <x:f>IF(B91&gt;0,IF(TauxActuariel,((B91+1)^(1/NbEchAn))-1,B91/NbEchAn),R90)</x:f>
      </x:c>
      <x:c r="S91" s="70">
        <x:f>IF(E91&gt;0,E91,IF(D91&gt;0,IF(AND(EchFIXE,R91&gt;0),ROUND((L91-C91)*R91/(1-((1+R91)^-D91)),NbDeci),ROUND(L91/D91,NbDeci)),S90))</x:f>
      </x:c>
    </x:row>
    <x:row r="92" spans="1:31" x14ac:dyDescent="0.2">
      <x:c r="B92" s="334"/>
      <x:c r="C92" s="335"/>
      <x:c r="D92" s="336"/>
      <x:c r="E92" s="337"/>
      <x:c r="F92" s="338"/>
      <x:c r="H92" s="327">
        <x:f>IF(L92=0,"",H91+1)</x:f>
      </x:c>
      <x:c r="I92" s="328">
        <x:f>IF(L92&gt;0,NbEch+Différé+1-H92,"")</x:f>
      </x:c>
      <x:c r="J92" s="339">
        <x:f>IF(ISNUMBER(K92),YEAR(K92),"")</x:f>
      </x:c>
      <x:c r="K92" s="340">
        <x:f>IF(L92=0,"",IF(Ijour=0,MIN(DATE(YEAR(DebAmort),MONTH(DebAmort)+MoisD+(H92-1)*Imois,Jour2),DATE(YEAR(DebAmort),MONTH(DebAmort)+MoisD+1+(H92-1)*Imois,0)),DATE(YEAR(DebAmort),MONTH(DebAmort),Jour1+(H92-1)*Ijour)))</x:f>
      </x:c>
      <x:c r="L92" s="341">
        <x:f>L91-N91</x:f>
      </x:c>
      <x:c r="M92" s="331">
        <x:f>IF(H92&lt;=NoEchMaxi,ROUND(L92*R92,NbDeci),0)</x:f>
      </x:c>
      <x:c r="N92" s="330">
        <x:f>IF(OR(H92&lt;=Différé,H92&gt;NoEchMaxi),IF(DiffTotal,-M92,0),IF(H92&gt;=NoEchRemb,L92,IF(S92-(M92*EchFIXE)&gt;L92-2,L92,S92-(M92*EchFIXE))))+C92</x:f>
      </x:c>
      <x:c r="O92" s="332">
        <x:f>IF(OR(L92=0,H92&gt;NoEchMaxi),0,ROUND(FraisF+FraisV*L92,NbDeci))+F92</x:f>
      </x:c>
      <x:c r="P92" s="342">
        <x:f>SUM(M92:O92)</x:f>
      </x:c>
      <x:c r="Q92" s="0"/>
      <x:c r="R92" s="71">
        <x:f>IF(B92&gt;0,IF(TauxActuariel,((B92+1)^(1/NbEchAn))-1,B92/NbEchAn),R91)</x:f>
      </x:c>
      <x:c r="S92" s="70">
        <x:f>IF(E92&gt;0,E92,IF(D92&gt;0,IF(AND(EchFIXE,R92&gt;0),ROUND((L92-C92)*R92/(1-((1+R92)^-D92)),NbDeci),ROUND(L92/D92,NbDeci)),S91))</x:f>
      </x:c>
    </x:row>
    <x:row r="93" spans="1:31" x14ac:dyDescent="0.2">
      <x:c r="B93" s="334"/>
      <x:c r="C93" s="335"/>
      <x:c r="D93" s="336"/>
      <x:c r="E93" s="337"/>
      <x:c r="F93" s="338"/>
      <x:c r="H93" s="327">
        <x:f>IF(L93=0,"",H92+1)</x:f>
      </x:c>
      <x:c r="I93" s="328">
        <x:f>IF(L93&gt;0,NbEch+Différé+1-H93,"")</x:f>
      </x:c>
      <x:c r="J93" s="339">
        <x:f>IF(ISNUMBER(K93),YEAR(K93),"")</x:f>
      </x:c>
      <x:c r="K93" s="340">
        <x:f>IF(L93=0,"",IF(Ijour=0,MIN(DATE(YEAR(DebAmort),MONTH(DebAmort)+(H93-1)*Imois,Jour1),DATE(YEAR(DebAmort),MONTH(DebAmort)+1+(H93-1)*Imois,0)),DATE(YEAR(DebAmort),MONTH(DebAmort),Jour1+(H93-1)*Ijour)))</x:f>
      </x:c>
      <x:c r="L93" s="341">
        <x:f>L92-N92</x:f>
      </x:c>
      <x:c r="M93" s="331">
        <x:f>IF(H93&lt;=NoEchMaxi,ROUND(L93*R93,NbDeci),0)</x:f>
      </x:c>
      <x:c r="N93" s="330">
        <x:f>IF(OR(H93&lt;=Différé,H93&gt;NoEchMaxi),IF(DiffTotal,-M93,0),IF(H93&gt;=NoEchRemb,L93,IF(S93-(M93*EchFIXE)&gt;L93-2,L93,S93-(M93*EchFIXE))))+C93</x:f>
      </x:c>
      <x:c r="O93" s="332">
        <x:f>IF(OR(L93=0,H93&gt;NoEchMaxi),0,ROUND(FraisF+FraisV*L93,NbDeci))+F93</x:f>
      </x:c>
      <x:c r="P93" s="342">
        <x:f>SUM(M93:O93)</x:f>
      </x:c>
      <x:c r="Q93" s="0"/>
      <x:c r="R93" s="71">
        <x:f>IF(B93&gt;0,IF(TauxActuariel,((B93+1)^(1/NbEchAn))-1,B93/NbEchAn),R92)</x:f>
      </x:c>
      <x:c r="S93" s="70">
        <x:f>IF(E93&gt;0,E93,IF(D93&gt;0,IF(AND(EchFIXE,R93&gt;0),ROUND((L93-C93)*R93/(1-((1+R93)^-D93)),NbDeci),ROUND(L93/D93,NbDeci)),S92))</x:f>
      </x:c>
    </x:row>
    <x:row r="94" spans="1:31" x14ac:dyDescent="0.2">
      <x:c r="B94" s="334"/>
      <x:c r="C94" s="335"/>
      <x:c r="D94" s="336"/>
      <x:c r="E94" s="337"/>
      <x:c r="F94" s="338"/>
      <x:c r="H94" s="327">
        <x:f>IF(L94=0,"",H93+1)</x:f>
      </x:c>
      <x:c r="I94" s="328">
        <x:f>IF(L94&gt;0,NbEch+Différé+1-H94,"")</x:f>
      </x:c>
      <x:c r="J94" s="339">
        <x:f>IF(ISNUMBER(K94),YEAR(K94),"")</x:f>
      </x:c>
      <x:c r="K94" s="340">
        <x:f>IF(L94=0,"",IF(Ijour=0,MIN(DATE(YEAR(DebAmort),MONTH(DebAmort)+MoisD+(H94-1)*Imois,Jour2),DATE(YEAR(DebAmort),MONTH(DebAmort)+MoisD+1+(H94-1)*Imois,0)),DATE(YEAR(DebAmort),MONTH(DebAmort),Jour1+(H94-1)*Ijour)))</x:f>
      </x:c>
      <x:c r="L94" s="341">
        <x:f>L93-N93</x:f>
      </x:c>
      <x:c r="M94" s="331">
        <x:f>IF(H94&lt;=NoEchMaxi,ROUND(L94*R94,NbDeci),0)</x:f>
      </x:c>
      <x:c r="N94" s="330">
        <x:f>IF(OR(H94&lt;=Différé,H94&gt;NoEchMaxi),IF(DiffTotal,-M94,0),IF(H94&gt;=NoEchRemb,L94,IF(S94-(M94*EchFIXE)&gt;L94-2,L94,S94-(M94*EchFIXE))))+C94</x:f>
      </x:c>
      <x:c r="O94" s="332">
        <x:f>IF(OR(L94=0,H94&gt;NoEchMaxi),0,ROUND(FraisF+FraisV*L94,NbDeci))+F94</x:f>
      </x:c>
      <x:c r="P94" s="342">
        <x:f>SUM(M94:O94)</x:f>
      </x:c>
      <x:c r="Q94" s="0"/>
      <x:c r="R94" s="71">
        <x:f>IF(B94&gt;0,IF(TauxActuariel,((B94+1)^(1/NbEchAn))-1,B94/NbEchAn),R93)</x:f>
      </x:c>
      <x:c r="S94" s="70">
        <x:f>IF(E94&gt;0,E94,IF(D94&gt;0,IF(AND(EchFIXE,R94&gt;0),ROUND((L94-C94)*R94/(1-((1+R94)^-D94)),NbDeci),ROUND(L94/D94,NbDeci)),S93))</x:f>
      </x:c>
    </x:row>
    <x:row r="95" spans="1:31" x14ac:dyDescent="0.2">
      <x:c r="B95" s="334"/>
      <x:c r="C95" s="335"/>
      <x:c r="D95" s="336"/>
      <x:c r="E95" s="337"/>
      <x:c r="F95" s="338"/>
      <x:c r="H95" s="327">
        <x:f>IF(L95=0,"",H94+1)</x:f>
      </x:c>
      <x:c r="I95" s="328">
        <x:f>IF(L95&gt;0,NbEch+Différé+1-H95,"")</x:f>
      </x:c>
      <x:c r="J95" s="339">
        <x:f>IF(ISNUMBER(K95),YEAR(K95),"")</x:f>
      </x:c>
      <x:c r="K95" s="340">
        <x:f>IF(L95=0,"",IF(Ijour=0,MIN(DATE(YEAR(DebAmort),MONTH(DebAmort)+(H95-1)*Imois,Jour1),DATE(YEAR(DebAmort),MONTH(DebAmort)+1+(H95-1)*Imois,0)),DATE(YEAR(DebAmort),MONTH(DebAmort),Jour1+(H95-1)*Ijour)))</x:f>
      </x:c>
      <x:c r="L95" s="341">
        <x:f>L94-N94</x:f>
      </x:c>
      <x:c r="M95" s="331">
        <x:f>IF(H95&lt;=NoEchMaxi,ROUND(L95*R95,NbDeci),0)</x:f>
      </x:c>
      <x:c r="N95" s="330">
        <x:f>IF(OR(H95&lt;=Différé,H95&gt;NoEchMaxi),IF(DiffTotal,-M95,0),IF(H95&gt;=NoEchRemb,L95,IF(S95-(M95*EchFIXE)&gt;L95-2,L95,S95-(M95*EchFIXE))))+C95</x:f>
      </x:c>
      <x:c r="O95" s="332">
        <x:f>IF(OR(L95=0,H95&gt;NoEchMaxi),0,ROUND(FraisF+FraisV*L95,NbDeci))+F95</x:f>
      </x:c>
      <x:c r="P95" s="342">
        <x:f>SUM(M95:O95)</x:f>
      </x:c>
      <x:c r="Q95" s="0"/>
      <x:c r="R95" s="71">
        <x:f>IF(B95&gt;0,IF(TauxActuariel,((B95+1)^(1/NbEchAn))-1,B95/NbEchAn),R94)</x:f>
      </x:c>
      <x:c r="S95" s="70">
        <x:f>IF(E95&gt;0,E95,IF(D95&gt;0,IF(AND(EchFIXE,R95&gt;0),ROUND((L95-C95)*R95/(1-((1+R95)^-D95)),NbDeci),ROUND(L95/D95,NbDeci)),S94))</x:f>
      </x:c>
    </x:row>
    <x:row r="96" spans="1:31" x14ac:dyDescent="0.2">
      <x:c r="B96" s="334"/>
      <x:c r="C96" s="335"/>
      <x:c r="D96" s="336"/>
      <x:c r="E96" s="337"/>
      <x:c r="F96" s="338"/>
      <x:c r="H96" s="327">
        <x:f>IF(L96=0,"",H95+1)</x:f>
      </x:c>
      <x:c r="I96" s="328">
        <x:f>IF(L96&gt;0,NbEch+Différé+1-H96,"")</x:f>
      </x:c>
      <x:c r="J96" s="339">
        <x:f>IF(ISNUMBER(K96),YEAR(K96),"")</x:f>
      </x:c>
      <x:c r="K96" s="340">
        <x:f>IF(L96=0,"",IF(Ijour=0,MIN(DATE(YEAR(DebAmort),MONTH(DebAmort)+MoisD+(H96-1)*Imois,Jour2),DATE(YEAR(DebAmort),MONTH(DebAmort)+MoisD+1+(H96-1)*Imois,0)),DATE(YEAR(DebAmort),MONTH(DebAmort),Jour1+(H96-1)*Ijour)))</x:f>
      </x:c>
      <x:c r="L96" s="341">
        <x:f>L95-N95</x:f>
      </x:c>
      <x:c r="M96" s="331">
        <x:f>IF(H96&lt;=NoEchMaxi,ROUND(L96*R96,NbDeci),0)</x:f>
      </x:c>
      <x:c r="N96" s="330">
        <x:f>IF(OR(H96&lt;=Différé,H96&gt;NoEchMaxi),IF(DiffTotal,-M96,0),IF(H96&gt;=NoEchRemb,L96,IF(S96-(M96*EchFIXE)&gt;L96-2,L96,S96-(M96*EchFIXE))))+C96</x:f>
      </x:c>
      <x:c r="O96" s="332">
        <x:f>IF(OR(L96=0,H96&gt;NoEchMaxi),0,ROUND(FraisF+FraisV*L96,NbDeci))+F96</x:f>
      </x:c>
      <x:c r="P96" s="342">
        <x:f>SUM(M96:O96)</x:f>
      </x:c>
      <x:c r="Q96" s="0"/>
      <x:c r="R96" s="71">
        <x:f>IF(B96&gt;0,IF(TauxActuariel,((B96+1)^(1/NbEchAn))-1,B96/NbEchAn),R95)</x:f>
      </x:c>
      <x:c r="S96" s="70">
        <x:f>IF(E96&gt;0,E96,IF(D96&gt;0,IF(AND(EchFIXE,R96&gt;0),ROUND((L96-C96)*R96/(1-((1+R96)^-D96)),NbDeci),ROUND(L96/D96,NbDeci)),S95))</x:f>
      </x:c>
    </x:row>
    <x:row r="97" spans="1:31" x14ac:dyDescent="0.2">
      <x:c r="B97" s="334"/>
      <x:c r="C97" s="335"/>
      <x:c r="D97" s="336"/>
      <x:c r="E97" s="337"/>
      <x:c r="F97" s="338"/>
      <x:c r="H97" s="327">
        <x:f>IF(L97=0,"",H96+1)</x:f>
      </x:c>
      <x:c r="I97" s="328">
        <x:f>IF(L97&gt;0,NbEch+Différé+1-H97,"")</x:f>
      </x:c>
      <x:c r="J97" s="339">
        <x:f>IF(ISNUMBER(K97),YEAR(K97),"")</x:f>
      </x:c>
      <x:c r="K97" s="340">
        <x:f>IF(L97=0,"",IF(Ijour=0,MIN(DATE(YEAR(DebAmort),MONTH(DebAmort)+(H97-1)*Imois,Jour1),DATE(YEAR(DebAmort),MONTH(DebAmort)+1+(H97-1)*Imois,0)),DATE(YEAR(DebAmort),MONTH(DebAmort),Jour1+(H97-1)*Ijour)))</x:f>
      </x:c>
      <x:c r="L97" s="341">
        <x:f>L96-N96</x:f>
      </x:c>
      <x:c r="M97" s="331">
        <x:f>IF(H97&lt;=NoEchMaxi,ROUND(L97*R97,NbDeci),0)</x:f>
      </x:c>
      <x:c r="N97" s="330">
        <x:f>IF(OR(H97&lt;=Différé,H97&gt;NoEchMaxi),IF(DiffTotal,-M97,0),IF(H97&gt;=NoEchRemb,L97,IF(S97-(M97*EchFIXE)&gt;L97-2,L97,S97-(M97*EchFIXE))))+C97</x:f>
      </x:c>
      <x:c r="O97" s="332">
        <x:f>IF(OR(L97=0,H97&gt;NoEchMaxi),0,ROUND(FraisF+FraisV*L97,NbDeci))+F97</x:f>
      </x:c>
      <x:c r="P97" s="342">
        <x:f>SUM(M97:O97)</x:f>
      </x:c>
      <x:c r="Q97" s="0"/>
      <x:c r="R97" s="71">
        <x:f>IF(B97&gt;0,IF(TauxActuariel,((B97+1)^(1/NbEchAn))-1,B97/NbEchAn),R96)</x:f>
      </x:c>
      <x:c r="S97" s="70">
        <x:f>IF(E97&gt;0,E97,IF(D97&gt;0,IF(AND(EchFIXE,R97&gt;0),ROUND((L97-C97)*R97/(1-((1+R97)^-D97)),NbDeci),ROUND(L97/D97,NbDeci)),S96))</x:f>
      </x:c>
    </x:row>
    <x:row r="98" spans="1:31" x14ac:dyDescent="0.2">
      <x:c r="B98" s="334"/>
      <x:c r="C98" s="335"/>
      <x:c r="D98" s="336"/>
      <x:c r="E98" s="337"/>
      <x:c r="F98" s="338"/>
      <x:c r="H98" s="327">
        <x:f>IF(L98=0,"",H97+1)</x:f>
      </x:c>
      <x:c r="I98" s="328">
        <x:f>IF(L98&gt;0,NbEch+Différé+1-H98,"")</x:f>
      </x:c>
      <x:c r="J98" s="339">
        <x:f>IF(ISNUMBER(K98),YEAR(K98),"")</x:f>
      </x:c>
      <x:c r="K98" s="340">
        <x:f>IF(L98=0,"",IF(Ijour=0,MIN(DATE(YEAR(DebAmort),MONTH(DebAmort)+MoisD+(H98-1)*Imois,Jour2),DATE(YEAR(DebAmort),MONTH(DebAmort)+MoisD+1+(H98-1)*Imois,0)),DATE(YEAR(DebAmort),MONTH(DebAmort),Jour1+(H98-1)*Ijour)))</x:f>
      </x:c>
      <x:c r="L98" s="341">
        <x:f>L97-N97</x:f>
      </x:c>
      <x:c r="M98" s="331">
        <x:f>IF(H98&lt;=NoEchMaxi,ROUND(L98*R98,NbDeci),0)</x:f>
      </x:c>
      <x:c r="N98" s="330">
        <x:f>IF(OR(H98&lt;=Différé,H98&gt;NoEchMaxi),IF(DiffTotal,-M98,0),IF(H98&gt;=NoEchRemb,L98,IF(S98-(M98*EchFIXE)&gt;L98-2,L98,S98-(M98*EchFIXE))))+C98</x:f>
      </x:c>
      <x:c r="O98" s="332">
        <x:f>IF(OR(L98=0,H98&gt;NoEchMaxi),0,ROUND(FraisF+FraisV*L98,NbDeci))+F98</x:f>
      </x:c>
      <x:c r="P98" s="342">
        <x:f>SUM(M98:O98)</x:f>
      </x:c>
      <x:c r="Q98" s="0"/>
      <x:c r="R98" s="71">
        <x:f>IF(B98&gt;0,IF(TauxActuariel,((B98+1)^(1/NbEchAn))-1,B98/NbEchAn),R97)</x:f>
      </x:c>
      <x:c r="S98" s="70">
        <x:f>IF(E98&gt;0,E98,IF(D98&gt;0,IF(AND(EchFIXE,R98&gt;0),ROUND((L98-C98)*R98/(1-((1+R98)^-D98)),NbDeci),ROUND(L98/D98,NbDeci)),S97))</x:f>
      </x:c>
    </x:row>
    <x:row r="99" spans="1:31" x14ac:dyDescent="0.2">
      <x:c r="B99" s="334"/>
      <x:c r="C99" s="335"/>
      <x:c r="D99" s="336"/>
      <x:c r="E99" s="337"/>
      <x:c r="F99" s="338"/>
      <x:c r="H99" s="327">
        <x:f>IF(L99=0,"",H98+1)</x:f>
      </x:c>
      <x:c r="I99" s="328">
        <x:f>IF(L99&gt;0,NbEch+Différé+1-H99,"")</x:f>
      </x:c>
      <x:c r="J99" s="339">
        <x:f>IF(ISNUMBER(K99),YEAR(K99),"")</x:f>
      </x:c>
      <x:c r="K99" s="340">
        <x:f>IF(L99=0,"",IF(Ijour=0,MIN(DATE(YEAR(DebAmort),MONTH(DebAmort)+(H99-1)*Imois,Jour1),DATE(YEAR(DebAmort),MONTH(DebAmort)+1+(H99-1)*Imois,0)),DATE(YEAR(DebAmort),MONTH(DebAmort),Jour1+(H99-1)*Ijour)))</x:f>
      </x:c>
      <x:c r="L99" s="341">
        <x:f>L98-N98</x:f>
      </x:c>
      <x:c r="M99" s="331">
        <x:f>IF(H99&lt;=NoEchMaxi,ROUND(L99*R99,NbDeci),0)</x:f>
      </x:c>
      <x:c r="N99" s="330">
        <x:f>IF(OR(H99&lt;=Différé,H99&gt;NoEchMaxi),IF(DiffTotal,-M99,0),IF(H99&gt;=NoEchRemb,L99,IF(S99-(M99*EchFIXE)&gt;L99-2,L99,S99-(M99*EchFIXE))))+C99</x:f>
      </x:c>
      <x:c r="O99" s="332">
        <x:f>IF(OR(L99=0,H99&gt;NoEchMaxi),0,ROUND(FraisF+FraisV*L99,NbDeci))+F99</x:f>
      </x:c>
      <x:c r="P99" s="342">
        <x:f>SUM(M99:O99)</x:f>
      </x:c>
      <x:c r="Q99" s="0"/>
      <x:c r="R99" s="71">
        <x:f>IF(B99&gt;0,IF(TauxActuariel,((B99+1)^(1/NbEchAn))-1,B99/NbEchAn),R98)</x:f>
      </x:c>
      <x:c r="S99" s="70">
        <x:f>IF(E99&gt;0,E99,IF(D99&gt;0,IF(AND(EchFIXE,R99&gt;0),ROUND((L99-C99)*R99/(1-((1+R99)^-D99)),NbDeci),ROUND(L99/D99,NbDeci)),S98))</x:f>
      </x:c>
    </x:row>
    <x:row r="100" spans="1:31" x14ac:dyDescent="0.2">
      <x:c r="B100" s="334"/>
      <x:c r="C100" s="335"/>
      <x:c r="D100" s="336"/>
      <x:c r="E100" s="337"/>
      <x:c r="F100" s="338"/>
      <x:c r="H100" s="327">
        <x:f>IF(L100=0,"",H99+1)</x:f>
      </x:c>
      <x:c r="I100" s="328">
        <x:f>IF(L100&gt;0,NbEch+Différé+1-H100,"")</x:f>
      </x:c>
      <x:c r="J100" s="339">
        <x:f>IF(ISNUMBER(K100),YEAR(K100),"")</x:f>
      </x:c>
      <x:c r="K100" s="340">
        <x:f>IF(L100=0,"",IF(Ijour=0,MIN(DATE(YEAR(DebAmort),MONTH(DebAmort)+MoisD+(H100-1)*Imois,Jour2),DATE(YEAR(DebAmort),MONTH(DebAmort)+MoisD+1+(H100-1)*Imois,0)),DATE(YEAR(DebAmort),MONTH(DebAmort),Jour1+(H100-1)*Ijour)))</x:f>
      </x:c>
      <x:c r="L100" s="341">
        <x:f>L99-N99</x:f>
      </x:c>
      <x:c r="M100" s="331">
        <x:f>IF(H100&lt;=NoEchMaxi,ROUND(L100*R100,NbDeci),0)</x:f>
      </x:c>
      <x:c r="N100" s="330">
        <x:f>IF(OR(H100&lt;=Différé,H100&gt;NoEchMaxi),IF(DiffTotal,-M100,0),IF(H100&gt;=NoEchRemb,L100,IF(S100-(M100*EchFIXE)&gt;L100-2,L100,S100-(M100*EchFIXE))))+C100</x:f>
      </x:c>
      <x:c r="O100" s="332">
        <x:f>IF(OR(L100=0,H100&gt;NoEchMaxi),0,ROUND(FraisF+FraisV*L100,NbDeci))+F100</x:f>
      </x:c>
      <x:c r="P100" s="342">
        <x:f>SUM(M100:O100)</x:f>
      </x:c>
      <x:c r="Q100" s="0"/>
      <x:c r="R100" s="71">
        <x:f>IF(B100&gt;0,IF(TauxActuariel,((B100+1)^(1/NbEchAn))-1,B100/NbEchAn),R99)</x:f>
      </x:c>
      <x:c r="S100" s="70">
        <x:f>IF(E100&gt;0,E100,IF(D100&gt;0,IF(AND(EchFIXE,R100&gt;0),ROUND((L100-C100)*R100/(1-((1+R100)^-D100)),NbDeci),ROUND(L100/D100,NbDeci)),S99))</x:f>
      </x:c>
    </x:row>
    <x:row r="101" spans="1:31" x14ac:dyDescent="0.2">
      <x:c r="B101" s="334"/>
      <x:c r="C101" s="335"/>
      <x:c r="D101" s="336"/>
      <x:c r="E101" s="337"/>
      <x:c r="F101" s="338"/>
      <x:c r="H101" s="327">
        <x:f>IF(L101=0,"",H100+1)</x:f>
      </x:c>
      <x:c r="I101" s="328">
        <x:f>IF(L101&gt;0,NbEch+Différé+1-H101,"")</x:f>
      </x:c>
      <x:c r="J101" s="339">
        <x:f>IF(ISNUMBER(K101),YEAR(K101),"")</x:f>
      </x:c>
      <x:c r="K101" s="340">
        <x:f>IF(L101=0,"",IF(Ijour=0,MIN(DATE(YEAR(DebAmort),MONTH(DebAmort)+(H101-1)*Imois,Jour1),DATE(YEAR(DebAmort),MONTH(DebAmort)+1+(H101-1)*Imois,0)),DATE(YEAR(DebAmort),MONTH(DebAmort),Jour1+(H101-1)*Ijour)))</x:f>
      </x:c>
      <x:c r="L101" s="341">
        <x:f>L100-N100</x:f>
      </x:c>
      <x:c r="M101" s="331">
        <x:f>IF(H101&lt;=NoEchMaxi,ROUND(L101*R101,NbDeci),0)</x:f>
      </x:c>
      <x:c r="N101" s="330">
        <x:f>IF(OR(H101&lt;=Différé,H101&gt;NoEchMaxi),IF(DiffTotal,-M101,0),IF(H101&gt;=NoEchRemb,L101,IF(S101-(M101*EchFIXE)&gt;L101-2,L101,S101-(M101*EchFIXE))))+C101</x:f>
      </x:c>
      <x:c r="O101" s="332">
        <x:f>IF(OR(L101=0,H101&gt;NoEchMaxi),0,ROUND(FraisF+FraisV*L101,NbDeci))+F101</x:f>
      </x:c>
      <x:c r="P101" s="342">
        <x:f>SUM(M101:O101)</x:f>
      </x:c>
      <x:c r="Q101" s="0"/>
      <x:c r="R101" s="71">
        <x:f>IF(B101&gt;0,IF(TauxActuariel,((B101+1)^(1/NbEchAn))-1,B101/NbEchAn),R100)</x:f>
      </x:c>
      <x:c r="S101" s="70">
        <x:f>IF(E101&gt;0,E101,IF(D101&gt;0,IF(AND(EchFIXE,R101&gt;0),ROUND((L101-C101)*R101/(1-((1+R101)^-D101)),NbDeci),ROUND(L101/D101,NbDeci)),S100))</x:f>
      </x:c>
    </x:row>
    <x:row r="102" spans="1:31" x14ac:dyDescent="0.2">
      <x:c r="B102" s="334"/>
      <x:c r="C102" s="335"/>
      <x:c r="D102" s="336"/>
      <x:c r="E102" s="337"/>
      <x:c r="F102" s="338"/>
      <x:c r="H102" s="327">
        <x:f>IF(L102=0,"",H101+1)</x:f>
      </x:c>
      <x:c r="I102" s="328">
        <x:f>IF(L102&gt;0,NbEch+Différé+1-H102,"")</x:f>
      </x:c>
      <x:c r="J102" s="339">
        <x:f>IF(ISNUMBER(K102),YEAR(K102),"")</x:f>
      </x:c>
      <x:c r="K102" s="340">
        <x:f>IF(L102=0,"",IF(Ijour=0,MIN(DATE(YEAR(DebAmort),MONTH(DebAmort)+MoisD+(H102-1)*Imois,Jour2),DATE(YEAR(DebAmort),MONTH(DebAmort)+MoisD+1+(H102-1)*Imois,0)),DATE(YEAR(DebAmort),MONTH(DebAmort),Jour1+(H102-1)*Ijour)))</x:f>
      </x:c>
      <x:c r="L102" s="341">
        <x:f>L101-N101</x:f>
      </x:c>
      <x:c r="M102" s="331">
        <x:f>IF(H102&lt;=NoEchMaxi,ROUND(L102*R102,NbDeci),0)</x:f>
      </x:c>
      <x:c r="N102" s="330">
        <x:f>IF(OR(H102&lt;=Différé,H102&gt;NoEchMaxi),IF(DiffTotal,-M102,0),IF(H102&gt;=NoEchRemb,L102,IF(S102-(M102*EchFIXE)&gt;L102-2,L102,S102-(M102*EchFIXE))))+C102</x:f>
      </x:c>
      <x:c r="O102" s="332">
        <x:f>IF(OR(L102=0,H102&gt;NoEchMaxi),0,ROUND(FraisF+FraisV*L102,NbDeci))+F102</x:f>
      </x:c>
      <x:c r="P102" s="342">
        <x:f>SUM(M102:O102)</x:f>
      </x:c>
      <x:c r="Q102" s="0"/>
      <x:c r="R102" s="71">
        <x:f>IF(B102&gt;0,IF(TauxActuariel,((B102+1)^(1/NbEchAn))-1,B102/NbEchAn),R101)</x:f>
      </x:c>
      <x:c r="S102" s="70">
        <x:f>IF(E102&gt;0,E102,IF(D102&gt;0,IF(AND(EchFIXE,R102&gt;0),ROUND((L102-C102)*R102/(1-((1+R102)^-D102)),NbDeci),ROUND(L102/D102,NbDeci)),S101))</x:f>
      </x:c>
    </x:row>
    <x:row r="103" spans="1:31" x14ac:dyDescent="0.2">
      <x:c r="B103" s="334"/>
      <x:c r="C103" s="335"/>
      <x:c r="D103" s="336"/>
      <x:c r="E103" s="337"/>
      <x:c r="F103" s="338"/>
      <x:c r="H103" s="327">
        <x:f>IF(L103=0,"",H102+1)</x:f>
      </x:c>
      <x:c r="I103" s="328">
        <x:f>IF(L103&gt;0,NbEch+Différé+1-H103,"")</x:f>
      </x:c>
      <x:c r="J103" s="339">
        <x:f>IF(ISNUMBER(K103),YEAR(K103),"")</x:f>
      </x:c>
      <x:c r="K103" s="340">
        <x:f>IF(L103=0,"",IF(Ijour=0,MIN(DATE(YEAR(DebAmort),MONTH(DebAmort)+(H103-1)*Imois,Jour1),DATE(YEAR(DebAmort),MONTH(DebAmort)+1+(H103-1)*Imois,0)),DATE(YEAR(DebAmort),MONTH(DebAmort),Jour1+(H103-1)*Ijour)))</x:f>
      </x:c>
      <x:c r="L103" s="341">
        <x:f>L102-N102</x:f>
      </x:c>
      <x:c r="M103" s="331">
        <x:f>IF(H103&lt;=NoEchMaxi,ROUND(L103*R103,NbDeci),0)</x:f>
      </x:c>
      <x:c r="N103" s="330">
        <x:f>IF(OR(H103&lt;=Différé,H103&gt;NoEchMaxi),IF(DiffTotal,-M103,0),IF(H103&gt;=NoEchRemb,L103,IF(S103-(M103*EchFIXE)&gt;L103-2,L103,S103-(M103*EchFIXE))))+C103</x:f>
      </x:c>
      <x:c r="O103" s="332">
        <x:f>IF(OR(L103=0,H103&gt;NoEchMaxi),0,ROUND(FraisF+FraisV*L103,NbDeci))+F103</x:f>
      </x:c>
      <x:c r="P103" s="342">
        <x:f>SUM(M103:O103)</x:f>
      </x:c>
      <x:c r="Q103" s="0"/>
      <x:c r="R103" s="71">
        <x:f>IF(B103&gt;0,IF(TauxActuariel,((B103+1)^(1/NbEchAn))-1,B103/NbEchAn),R102)</x:f>
      </x:c>
      <x:c r="S103" s="70">
        <x:f>IF(E103&gt;0,E103,IF(D103&gt;0,IF(AND(EchFIXE,R103&gt;0),ROUND((L103-C103)*R103/(1-((1+R103)^-D103)),NbDeci),ROUND(L103/D103,NbDeci)),S102))</x:f>
      </x:c>
    </x:row>
    <x:row r="104" spans="1:31" x14ac:dyDescent="0.2">
      <x:c r="B104" s="334"/>
      <x:c r="C104" s="335"/>
      <x:c r="D104" s="336"/>
      <x:c r="E104" s="337"/>
      <x:c r="F104" s="338"/>
      <x:c r="H104" s="327">
        <x:f>IF(L104=0,"",H103+1)</x:f>
      </x:c>
      <x:c r="I104" s="328">
        <x:f>IF(L104&gt;0,NbEch+Différé+1-H104,"")</x:f>
      </x:c>
      <x:c r="J104" s="339">
        <x:f>IF(ISNUMBER(K104),YEAR(K104),"")</x:f>
      </x:c>
      <x:c r="K104" s="340">
        <x:f>IF(L104=0,"",IF(Ijour=0,MIN(DATE(YEAR(DebAmort),MONTH(DebAmort)+MoisD+(H104-1)*Imois,Jour2),DATE(YEAR(DebAmort),MONTH(DebAmort)+MoisD+1+(H104-1)*Imois,0)),DATE(YEAR(DebAmort),MONTH(DebAmort),Jour1+(H104-1)*Ijour)))</x:f>
      </x:c>
      <x:c r="L104" s="341">
        <x:f>L103-N103</x:f>
      </x:c>
      <x:c r="M104" s="331">
        <x:f>IF(H104&lt;=NoEchMaxi,ROUND(L104*R104,NbDeci),0)</x:f>
      </x:c>
      <x:c r="N104" s="330">
        <x:f>IF(OR(H104&lt;=Différé,H104&gt;NoEchMaxi),IF(DiffTotal,-M104,0),IF(H104&gt;=NoEchRemb,L104,IF(S104-(M104*EchFIXE)&gt;L104-2,L104,S104-(M104*EchFIXE))))+C104</x:f>
      </x:c>
      <x:c r="O104" s="332">
        <x:f>IF(OR(L104=0,H104&gt;NoEchMaxi),0,ROUND(FraisF+FraisV*L104,NbDeci))+F104</x:f>
      </x:c>
      <x:c r="P104" s="342">
        <x:f>SUM(M104:O104)</x:f>
      </x:c>
      <x:c r="Q104" s="0"/>
      <x:c r="R104" s="71">
        <x:f>IF(B104&gt;0,IF(TauxActuariel,((B104+1)^(1/NbEchAn))-1,B104/NbEchAn),R103)</x:f>
      </x:c>
      <x:c r="S104" s="70">
        <x:f>IF(E104&gt;0,E104,IF(D104&gt;0,IF(AND(EchFIXE,R104&gt;0),ROUND((L104-C104)*R104/(1-((1+R104)^-D104)),NbDeci),ROUND(L104/D104,NbDeci)),S103))</x:f>
      </x:c>
    </x:row>
    <x:row r="105" spans="1:31" x14ac:dyDescent="0.2">
      <x:c r="B105" s="334"/>
      <x:c r="C105" s="335"/>
      <x:c r="D105" s="336"/>
      <x:c r="E105" s="337"/>
      <x:c r="F105" s="338"/>
      <x:c r="H105" s="327">
        <x:f>IF(L105=0,"",H104+1)</x:f>
      </x:c>
      <x:c r="I105" s="328">
        <x:f>IF(L105&gt;0,NbEch+Différé+1-H105,"")</x:f>
      </x:c>
      <x:c r="J105" s="339">
        <x:f>IF(ISNUMBER(K105),YEAR(K105),"")</x:f>
      </x:c>
      <x:c r="K105" s="340">
        <x:f>IF(L105=0,"",IF(Ijour=0,MIN(DATE(YEAR(DebAmort),MONTH(DebAmort)+(H105-1)*Imois,Jour1),DATE(YEAR(DebAmort),MONTH(DebAmort)+1+(H105-1)*Imois,0)),DATE(YEAR(DebAmort),MONTH(DebAmort),Jour1+(H105-1)*Ijour)))</x:f>
      </x:c>
      <x:c r="L105" s="341">
        <x:f>L104-N104</x:f>
      </x:c>
      <x:c r="M105" s="331">
        <x:f>IF(H105&lt;=NoEchMaxi,ROUND(L105*R105,NbDeci),0)</x:f>
      </x:c>
      <x:c r="N105" s="330">
        <x:f>IF(OR(H105&lt;=Différé,H105&gt;NoEchMaxi),IF(DiffTotal,-M105,0),IF(H105&gt;=NoEchRemb,L105,IF(S105-(M105*EchFIXE)&gt;L105-2,L105,S105-(M105*EchFIXE))))+C105</x:f>
      </x:c>
      <x:c r="O105" s="332">
        <x:f>IF(OR(L105=0,H105&gt;NoEchMaxi),0,ROUND(FraisF+FraisV*L105,NbDeci))+F105</x:f>
      </x:c>
      <x:c r="P105" s="342">
        <x:f>SUM(M105:O105)</x:f>
      </x:c>
      <x:c r="Q105" s="0"/>
      <x:c r="R105" s="71">
        <x:f>IF(B105&gt;0,IF(TauxActuariel,((B105+1)^(1/NbEchAn))-1,B105/NbEchAn),R104)</x:f>
      </x:c>
      <x:c r="S105" s="70">
        <x:f>IF(E105&gt;0,E105,IF(D105&gt;0,IF(AND(EchFIXE,R105&gt;0),ROUND((L105-C105)*R105/(1-((1+R105)^-D105)),NbDeci),ROUND(L105/D105,NbDeci)),S104))</x:f>
      </x:c>
    </x:row>
    <x:row r="106" spans="1:31" x14ac:dyDescent="0.2">
      <x:c r="B106" s="334"/>
      <x:c r="C106" s="335"/>
      <x:c r="D106" s="336"/>
      <x:c r="E106" s="337"/>
      <x:c r="F106" s="338"/>
      <x:c r="H106" s="327">
        <x:f>IF(L106=0,"",H105+1)</x:f>
      </x:c>
      <x:c r="I106" s="328">
        <x:f>IF(L106&gt;0,NbEch+Différé+1-H106,"")</x:f>
      </x:c>
      <x:c r="J106" s="339">
        <x:f>IF(ISNUMBER(K106),YEAR(K106),"")</x:f>
      </x:c>
      <x:c r="K106" s="340">
        <x:f>IF(L106=0,"",IF(Ijour=0,MIN(DATE(YEAR(DebAmort),MONTH(DebAmort)+MoisD+(H106-1)*Imois,Jour2),DATE(YEAR(DebAmort),MONTH(DebAmort)+MoisD+1+(H106-1)*Imois,0)),DATE(YEAR(DebAmort),MONTH(DebAmort),Jour1+(H106-1)*Ijour)))</x:f>
      </x:c>
      <x:c r="L106" s="341">
        <x:f>L105-N105</x:f>
      </x:c>
      <x:c r="M106" s="331">
        <x:f>IF(H106&lt;=NoEchMaxi,ROUND(L106*R106,NbDeci),0)</x:f>
      </x:c>
      <x:c r="N106" s="330">
        <x:f>IF(OR(H106&lt;=Différé,H106&gt;NoEchMaxi),IF(DiffTotal,-M106,0),IF(H106&gt;=NoEchRemb,L106,IF(S106-(M106*EchFIXE)&gt;L106-2,L106,S106-(M106*EchFIXE))))+C106</x:f>
      </x:c>
      <x:c r="O106" s="332">
        <x:f>IF(OR(L106=0,H106&gt;NoEchMaxi),0,ROUND(FraisF+FraisV*L106,NbDeci))+F106</x:f>
      </x:c>
      <x:c r="P106" s="342">
        <x:f>SUM(M106:O106)</x:f>
      </x:c>
      <x:c r="Q106" s="0"/>
      <x:c r="R106" s="71">
        <x:f>IF(B106&gt;0,IF(TauxActuariel,((B106+1)^(1/NbEchAn))-1,B106/NbEchAn),R105)</x:f>
      </x:c>
      <x:c r="S106" s="70">
        <x:f>IF(E106&gt;0,E106,IF(D106&gt;0,IF(AND(EchFIXE,R106&gt;0),ROUND((L106-C106)*R106/(1-((1+R106)^-D106)),NbDeci),ROUND(L106/D106,NbDeci)),S105))</x:f>
      </x:c>
    </x:row>
    <x:row r="107" spans="1:31" x14ac:dyDescent="0.2">
      <x:c r="B107" s="334"/>
      <x:c r="C107" s="335"/>
      <x:c r="D107" s="336"/>
      <x:c r="E107" s="337"/>
      <x:c r="F107" s="338"/>
      <x:c r="H107" s="327">
        <x:f>IF(L107=0,"",H106+1)</x:f>
      </x:c>
      <x:c r="I107" s="328">
        <x:f>IF(L107&gt;0,NbEch+Différé+1-H107,"")</x:f>
      </x:c>
      <x:c r="J107" s="339">
        <x:f>IF(ISNUMBER(K107),YEAR(K107),"")</x:f>
      </x:c>
      <x:c r="K107" s="340">
        <x:f>IF(L107=0,"",IF(Ijour=0,MIN(DATE(YEAR(DebAmort),MONTH(DebAmort)+(H107-1)*Imois,Jour1),DATE(YEAR(DebAmort),MONTH(DebAmort)+1+(H107-1)*Imois,0)),DATE(YEAR(DebAmort),MONTH(DebAmort),Jour1+(H107-1)*Ijour)))</x:f>
      </x:c>
      <x:c r="L107" s="341">
        <x:f>L106-N106</x:f>
      </x:c>
      <x:c r="M107" s="331">
        <x:f>IF(H107&lt;=NoEchMaxi,ROUND(L107*R107,NbDeci),0)</x:f>
      </x:c>
      <x:c r="N107" s="330">
        <x:f>IF(OR(H107&lt;=Différé,H107&gt;NoEchMaxi),IF(DiffTotal,-M107,0),IF(H107&gt;=NoEchRemb,L107,IF(S107-(M107*EchFIXE)&gt;L107-2,L107,S107-(M107*EchFIXE))))+C107</x:f>
      </x:c>
      <x:c r="O107" s="332">
        <x:f>IF(OR(L107=0,H107&gt;NoEchMaxi),0,ROUND(FraisF+FraisV*L107,NbDeci))+F107</x:f>
      </x:c>
      <x:c r="P107" s="342">
        <x:f>SUM(M107:O107)</x:f>
      </x:c>
      <x:c r="Q107" s="0"/>
      <x:c r="R107" s="71">
        <x:f>IF(B107&gt;0,IF(TauxActuariel,((B107+1)^(1/NbEchAn))-1,B107/NbEchAn),R106)</x:f>
      </x:c>
      <x:c r="S107" s="70">
        <x:f>IF(E107&gt;0,E107,IF(D107&gt;0,IF(AND(EchFIXE,R107&gt;0),ROUND((L107-C107)*R107/(1-((1+R107)^-D107)),NbDeci),ROUND(L107/D107,NbDeci)),S106))</x:f>
      </x:c>
    </x:row>
    <x:row r="108" spans="1:31" x14ac:dyDescent="0.2">
      <x:c r="B108" s="334"/>
      <x:c r="C108" s="335"/>
      <x:c r="D108" s="336"/>
      <x:c r="E108" s="337"/>
      <x:c r="F108" s="338"/>
      <x:c r="H108" s="327">
        <x:f>IF(L108=0,"",H107+1)</x:f>
      </x:c>
      <x:c r="I108" s="328">
        <x:f>IF(L108&gt;0,NbEch+Différé+1-H108,"")</x:f>
      </x:c>
      <x:c r="J108" s="339">
        <x:f>IF(ISNUMBER(K108),YEAR(K108),"")</x:f>
      </x:c>
      <x:c r="K108" s="340">
        <x:f>IF(L108=0,"",IF(Ijour=0,MIN(DATE(YEAR(DebAmort),MONTH(DebAmort)+MoisD+(H108-1)*Imois,Jour2),DATE(YEAR(DebAmort),MONTH(DebAmort)+MoisD+1+(H108-1)*Imois,0)),DATE(YEAR(DebAmort),MONTH(DebAmort),Jour1+(H108-1)*Ijour)))</x:f>
      </x:c>
      <x:c r="L108" s="341">
        <x:f>L107-N107</x:f>
      </x:c>
      <x:c r="M108" s="331">
        <x:f>IF(H108&lt;=NoEchMaxi,ROUND(L108*R108,NbDeci),0)</x:f>
      </x:c>
      <x:c r="N108" s="330">
        <x:f>IF(OR(H108&lt;=Différé,H108&gt;NoEchMaxi),IF(DiffTotal,-M108,0),IF(H108&gt;=NoEchRemb,L108,IF(S108-(M108*EchFIXE)&gt;L108-2,L108,S108-(M108*EchFIXE))))+C108</x:f>
      </x:c>
      <x:c r="O108" s="332">
        <x:f>IF(OR(L108=0,H108&gt;NoEchMaxi),0,ROUND(FraisF+FraisV*L108,NbDeci))+F108</x:f>
      </x:c>
      <x:c r="P108" s="342">
        <x:f>SUM(M108:O108)</x:f>
      </x:c>
      <x:c r="Q108" s="0"/>
      <x:c r="R108" s="71">
        <x:f>IF(B108&gt;0,IF(TauxActuariel,((B108+1)^(1/NbEchAn))-1,B108/NbEchAn),R107)</x:f>
      </x:c>
      <x:c r="S108" s="70">
        <x:f>IF(E108&gt;0,E108,IF(D108&gt;0,IF(AND(EchFIXE,R108&gt;0),ROUND((L108-C108)*R108/(1-((1+R108)^-D108)),NbDeci),ROUND(L108/D108,NbDeci)),S107))</x:f>
      </x:c>
    </x:row>
    <x:row r="109" spans="1:31" x14ac:dyDescent="0.2">
      <x:c r="B109" s="334"/>
      <x:c r="C109" s="335"/>
      <x:c r="D109" s="336"/>
      <x:c r="E109" s="337"/>
      <x:c r="F109" s="338"/>
      <x:c r="H109" s="327">
        <x:f>IF(L109=0,"",H108+1)</x:f>
      </x:c>
      <x:c r="I109" s="328">
        <x:f>IF(L109&gt;0,NbEch+Différé+1-H109,"")</x:f>
      </x:c>
      <x:c r="J109" s="339">
        <x:f>IF(ISNUMBER(K109),YEAR(K109),"")</x:f>
      </x:c>
      <x:c r="K109" s="340">
        <x:f>IF(L109=0,"",IF(Ijour=0,MIN(DATE(YEAR(DebAmort),MONTH(DebAmort)+(H109-1)*Imois,Jour1),DATE(YEAR(DebAmort),MONTH(DebAmort)+1+(H109-1)*Imois,0)),DATE(YEAR(DebAmort),MONTH(DebAmort),Jour1+(H109-1)*Ijour)))</x:f>
      </x:c>
      <x:c r="L109" s="341">
        <x:f>L108-N108</x:f>
      </x:c>
      <x:c r="M109" s="331">
        <x:f>IF(H109&lt;=NoEchMaxi,ROUND(L109*R109,NbDeci),0)</x:f>
      </x:c>
      <x:c r="N109" s="330">
        <x:f>IF(OR(H109&lt;=Différé,H109&gt;NoEchMaxi),IF(DiffTotal,-M109,0),IF(H109&gt;=NoEchRemb,L109,IF(S109-(M109*EchFIXE)&gt;L109-2,L109,S109-(M109*EchFIXE))))+C109</x:f>
      </x:c>
      <x:c r="O109" s="332">
        <x:f>IF(OR(L109=0,H109&gt;NoEchMaxi),0,ROUND(FraisF+FraisV*L109,NbDeci))+F109</x:f>
      </x:c>
      <x:c r="P109" s="342">
        <x:f>SUM(M109:O109)</x:f>
      </x:c>
      <x:c r="Q109" s="0"/>
      <x:c r="R109" s="71">
        <x:f>IF(B109&gt;0,IF(TauxActuariel,((B109+1)^(1/NbEchAn))-1,B109/NbEchAn),R108)</x:f>
      </x:c>
      <x:c r="S109" s="70">
        <x:f>IF(E109&gt;0,E109,IF(D109&gt;0,IF(AND(EchFIXE,R109&gt;0),ROUND((L109-C109)*R109/(1-((1+R109)^-D109)),NbDeci),ROUND(L109/D109,NbDeci)),S108))</x:f>
      </x:c>
    </x:row>
    <x:row r="110" spans="1:31" x14ac:dyDescent="0.2">
      <x:c r="B110" s="334"/>
      <x:c r="C110" s="335"/>
      <x:c r="D110" s="336"/>
      <x:c r="E110" s="337"/>
      <x:c r="F110" s="338"/>
      <x:c r="H110" s="327">
        <x:f>IF(L110=0,"",H109+1)</x:f>
      </x:c>
      <x:c r="I110" s="328">
        <x:f>IF(L110&gt;0,NbEch+Différé+1-H110,"")</x:f>
      </x:c>
      <x:c r="J110" s="339">
        <x:f>IF(ISNUMBER(K110),YEAR(K110),"")</x:f>
      </x:c>
      <x:c r="K110" s="340">
        <x:f>IF(L110=0,"",IF(Ijour=0,MIN(DATE(YEAR(DebAmort),MONTH(DebAmort)+MoisD+(H110-1)*Imois,Jour2),DATE(YEAR(DebAmort),MONTH(DebAmort)+MoisD+1+(H110-1)*Imois,0)),DATE(YEAR(DebAmort),MONTH(DebAmort),Jour1+(H110-1)*Ijour)))</x:f>
      </x:c>
      <x:c r="L110" s="341">
        <x:f>L109-N109</x:f>
      </x:c>
      <x:c r="M110" s="331">
        <x:f>IF(H110&lt;=NoEchMaxi,ROUND(L110*R110,NbDeci),0)</x:f>
      </x:c>
      <x:c r="N110" s="330">
        <x:f>IF(OR(H110&lt;=Différé,H110&gt;NoEchMaxi),IF(DiffTotal,-M110,0),IF(H110&gt;=NoEchRemb,L110,IF(S110-(M110*EchFIXE)&gt;L110-2,L110,S110-(M110*EchFIXE))))+C110</x:f>
      </x:c>
      <x:c r="O110" s="332">
        <x:f>IF(OR(L110=0,H110&gt;NoEchMaxi),0,ROUND(FraisF+FraisV*L110,NbDeci))+F110</x:f>
      </x:c>
      <x:c r="P110" s="342">
        <x:f>SUM(M110:O110)</x:f>
      </x:c>
      <x:c r="Q110" s="0"/>
      <x:c r="R110" s="71">
        <x:f>IF(B110&gt;0,IF(TauxActuariel,((B110+1)^(1/NbEchAn))-1,B110/NbEchAn),R109)</x:f>
      </x:c>
      <x:c r="S110" s="70">
        <x:f>IF(E110&gt;0,E110,IF(D110&gt;0,IF(AND(EchFIXE,R110&gt;0),ROUND((L110-C110)*R110/(1-((1+R110)^-D110)),NbDeci),ROUND(L110/D110,NbDeci)),S109))</x:f>
      </x:c>
    </x:row>
    <x:row r="111" spans="1:31" x14ac:dyDescent="0.2">
      <x:c r="B111" s="334"/>
      <x:c r="C111" s="335"/>
      <x:c r="D111" s="336"/>
      <x:c r="E111" s="337"/>
      <x:c r="F111" s="338"/>
      <x:c r="H111" s="327">
        <x:f>IF(L111=0,"",H110+1)</x:f>
      </x:c>
      <x:c r="I111" s="328">
        <x:f>IF(L111&gt;0,NbEch+Différé+1-H111,"")</x:f>
      </x:c>
      <x:c r="J111" s="339">
        <x:f>IF(ISNUMBER(K111),YEAR(K111),"")</x:f>
      </x:c>
      <x:c r="K111" s="340">
        <x:f>IF(L111=0,"",IF(Ijour=0,MIN(DATE(YEAR(DebAmort),MONTH(DebAmort)+(H111-1)*Imois,Jour1),DATE(YEAR(DebAmort),MONTH(DebAmort)+1+(H111-1)*Imois,0)),DATE(YEAR(DebAmort),MONTH(DebAmort),Jour1+(H111-1)*Ijour)))</x:f>
      </x:c>
      <x:c r="L111" s="341">
        <x:f>L110-N110</x:f>
      </x:c>
      <x:c r="M111" s="331">
        <x:f>IF(H111&lt;=NoEchMaxi,ROUND(L111*R111,NbDeci),0)</x:f>
      </x:c>
      <x:c r="N111" s="330">
        <x:f>IF(OR(H111&lt;=Différé,H111&gt;NoEchMaxi),IF(DiffTotal,-M111,0),IF(H111&gt;=NoEchRemb,L111,IF(S111-(M111*EchFIXE)&gt;L111-2,L111,S111-(M111*EchFIXE))))+C111</x:f>
      </x:c>
      <x:c r="O111" s="332">
        <x:f>IF(OR(L111=0,H111&gt;NoEchMaxi),0,ROUND(FraisF+FraisV*L111,NbDeci))+F111</x:f>
      </x:c>
      <x:c r="P111" s="342">
        <x:f>SUM(M111:O111)</x:f>
      </x:c>
      <x:c r="Q111" s="0"/>
      <x:c r="R111" s="71">
        <x:f>IF(B111&gt;0,IF(TauxActuariel,((B111+1)^(1/NbEchAn))-1,B111/NbEchAn),R110)</x:f>
      </x:c>
      <x:c r="S111" s="70">
        <x:f>IF(E111&gt;0,E111,IF(D111&gt;0,IF(AND(EchFIXE,R111&gt;0),ROUND((L111-C111)*R111/(1-((1+R111)^-D111)),NbDeci),ROUND(L111/D111,NbDeci)),S110))</x:f>
      </x:c>
    </x:row>
    <x:row r="112" spans="1:31" x14ac:dyDescent="0.2">
      <x:c r="B112" s="334"/>
      <x:c r="C112" s="335"/>
      <x:c r="D112" s="336"/>
      <x:c r="E112" s="337"/>
      <x:c r="F112" s="338"/>
      <x:c r="H112" s="327">
        <x:f>IF(L112=0,"",H111+1)</x:f>
      </x:c>
      <x:c r="I112" s="328">
        <x:f>IF(L112&gt;0,NbEch+Différé+1-H112,"")</x:f>
      </x:c>
      <x:c r="J112" s="339">
        <x:f>IF(ISNUMBER(K112),YEAR(K112),"")</x:f>
      </x:c>
      <x:c r="K112" s="340">
        <x:f>IF(L112=0,"",IF(Ijour=0,MIN(DATE(YEAR(DebAmort),MONTH(DebAmort)+MoisD+(H112-1)*Imois,Jour2),DATE(YEAR(DebAmort),MONTH(DebAmort)+MoisD+1+(H112-1)*Imois,0)),DATE(YEAR(DebAmort),MONTH(DebAmort),Jour1+(H112-1)*Ijour)))</x:f>
      </x:c>
      <x:c r="L112" s="341">
        <x:f>L111-N111</x:f>
      </x:c>
      <x:c r="M112" s="331">
        <x:f>IF(H112&lt;=NoEchMaxi,ROUND(L112*R112,NbDeci),0)</x:f>
      </x:c>
      <x:c r="N112" s="330">
        <x:f>IF(OR(H112&lt;=Différé,H112&gt;NoEchMaxi),IF(DiffTotal,-M112,0),IF(H112&gt;=NoEchRemb,L112,IF(S112-(M112*EchFIXE)&gt;L112-2,L112,S112-(M112*EchFIXE))))+C112</x:f>
      </x:c>
      <x:c r="O112" s="332">
        <x:f>IF(OR(L112=0,H112&gt;NoEchMaxi),0,ROUND(FraisF+FraisV*L112,NbDeci))+F112</x:f>
      </x:c>
      <x:c r="P112" s="342">
        <x:f>SUM(M112:O112)</x:f>
      </x:c>
      <x:c r="Q112" s="0"/>
      <x:c r="R112" s="71">
        <x:f>IF(B112&gt;0,IF(TauxActuariel,((B112+1)^(1/NbEchAn))-1,B112/NbEchAn),R111)</x:f>
      </x:c>
      <x:c r="S112" s="70">
        <x:f>IF(E112&gt;0,E112,IF(D112&gt;0,IF(AND(EchFIXE,R112&gt;0),ROUND((L112-C112)*R112/(1-((1+R112)^-D112)),NbDeci),ROUND(L112/D112,NbDeci)),S111))</x:f>
      </x:c>
    </x:row>
    <x:row r="113" spans="1:31" x14ac:dyDescent="0.2">
      <x:c r="B113" s="334"/>
      <x:c r="C113" s="335"/>
      <x:c r="D113" s="336"/>
      <x:c r="E113" s="337"/>
      <x:c r="F113" s="338"/>
      <x:c r="H113" s="327">
        <x:f>IF(L113=0,"",H112+1)</x:f>
      </x:c>
      <x:c r="I113" s="328">
        <x:f>IF(L113&gt;0,NbEch+Différé+1-H113,"")</x:f>
      </x:c>
      <x:c r="J113" s="339">
        <x:f>IF(ISNUMBER(K113),YEAR(K113),"")</x:f>
      </x:c>
      <x:c r="K113" s="340">
        <x:f>IF(L113=0,"",IF(Ijour=0,MIN(DATE(YEAR(DebAmort),MONTH(DebAmort)+(H113-1)*Imois,Jour1),DATE(YEAR(DebAmort),MONTH(DebAmort)+1+(H113-1)*Imois,0)),DATE(YEAR(DebAmort),MONTH(DebAmort),Jour1+(H113-1)*Ijour)))</x:f>
      </x:c>
      <x:c r="L113" s="341">
        <x:f>L112-N112</x:f>
      </x:c>
      <x:c r="M113" s="331">
        <x:f>IF(H113&lt;=NoEchMaxi,ROUND(L113*R113,NbDeci),0)</x:f>
      </x:c>
      <x:c r="N113" s="330">
        <x:f>IF(OR(H113&lt;=Différé,H113&gt;NoEchMaxi),IF(DiffTotal,-M113,0),IF(H113&gt;=NoEchRemb,L113,IF(S113-(M113*EchFIXE)&gt;L113-2,L113,S113-(M113*EchFIXE))))+C113</x:f>
      </x:c>
      <x:c r="O113" s="332">
        <x:f>IF(OR(L113=0,H113&gt;NoEchMaxi),0,ROUND(FraisF+FraisV*L113,NbDeci))+F113</x:f>
      </x:c>
      <x:c r="P113" s="342">
        <x:f>SUM(M113:O113)</x:f>
      </x:c>
      <x:c r="Q113" s="0"/>
      <x:c r="R113" s="71">
        <x:f>IF(B113&gt;0,IF(TauxActuariel,((B113+1)^(1/NbEchAn))-1,B113/NbEchAn),R112)</x:f>
      </x:c>
      <x:c r="S113" s="70">
        <x:f>IF(E113&gt;0,E113,IF(D113&gt;0,IF(AND(EchFIXE,R113&gt;0),ROUND((L113-C113)*R113/(1-((1+R113)^-D113)),NbDeci),ROUND(L113/D113,NbDeci)),S112))</x:f>
      </x:c>
    </x:row>
    <x:row r="114" spans="1:31" x14ac:dyDescent="0.2">
      <x:c r="B114" s="334"/>
      <x:c r="C114" s="335"/>
      <x:c r="D114" s="336"/>
      <x:c r="E114" s="337"/>
      <x:c r="F114" s="338"/>
      <x:c r="H114" s="327">
        <x:f>IF(L114=0,"",H113+1)</x:f>
      </x:c>
      <x:c r="I114" s="328">
        <x:f>IF(L114&gt;0,NbEch+Différé+1-H114,"")</x:f>
      </x:c>
      <x:c r="J114" s="339">
        <x:f>IF(ISNUMBER(K114),YEAR(K114),"")</x:f>
      </x:c>
      <x:c r="K114" s="340">
        <x:f>IF(L114=0,"",IF(Ijour=0,MIN(DATE(YEAR(DebAmort),MONTH(DebAmort)+MoisD+(H114-1)*Imois,Jour2),DATE(YEAR(DebAmort),MONTH(DebAmort)+MoisD+1+(H114-1)*Imois,0)),DATE(YEAR(DebAmort),MONTH(DebAmort),Jour1+(H114-1)*Ijour)))</x:f>
      </x:c>
      <x:c r="L114" s="341">
        <x:f>L113-N113</x:f>
      </x:c>
      <x:c r="M114" s="331">
        <x:f>IF(H114&lt;=NoEchMaxi,ROUND(L114*R114,NbDeci),0)</x:f>
      </x:c>
      <x:c r="N114" s="330">
        <x:f>IF(OR(H114&lt;=Différé,H114&gt;NoEchMaxi),IF(DiffTotal,-M114,0),IF(H114&gt;=NoEchRemb,L114,IF(S114-(M114*EchFIXE)&gt;L114-2,L114,S114-(M114*EchFIXE))))+C114</x:f>
      </x:c>
      <x:c r="O114" s="332">
        <x:f>IF(OR(L114=0,H114&gt;NoEchMaxi),0,ROUND(FraisF+FraisV*L114,NbDeci))+F114</x:f>
      </x:c>
      <x:c r="P114" s="342">
        <x:f>SUM(M114:O114)</x:f>
      </x:c>
      <x:c r="Q114" s="0"/>
      <x:c r="R114" s="71">
        <x:f>IF(B114&gt;0,IF(TauxActuariel,((B114+1)^(1/NbEchAn))-1,B114/NbEchAn),R113)</x:f>
      </x:c>
      <x:c r="S114" s="70">
        <x:f>IF(E114&gt;0,E114,IF(D114&gt;0,IF(AND(EchFIXE,R114&gt;0),ROUND((L114-C114)*R114/(1-((1+R114)^-D114)),NbDeci),ROUND(L114/D114,NbDeci)),S113))</x:f>
      </x:c>
    </x:row>
    <x:row r="115" spans="1:31" x14ac:dyDescent="0.2">
      <x:c r="B115" s="334"/>
      <x:c r="C115" s="335"/>
      <x:c r="D115" s="336"/>
      <x:c r="E115" s="337"/>
      <x:c r="F115" s="338"/>
      <x:c r="H115" s="327">
        <x:f>IF(L115=0,"",H114+1)</x:f>
      </x:c>
      <x:c r="I115" s="328">
        <x:f>IF(L115&gt;0,NbEch+Différé+1-H115,"")</x:f>
      </x:c>
      <x:c r="J115" s="339">
        <x:f>IF(ISNUMBER(K115),YEAR(K115),"")</x:f>
      </x:c>
      <x:c r="K115" s="340">
        <x:f>IF(L115=0,"",IF(Ijour=0,MIN(DATE(YEAR(DebAmort),MONTH(DebAmort)+(H115-1)*Imois,Jour1),DATE(YEAR(DebAmort),MONTH(DebAmort)+1+(H115-1)*Imois,0)),DATE(YEAR(DebAmort),MONTH(DebAmort),Jour1+(H115-1)*Ijour)))</x:f>
      </x:c>
      <x:c r="L115" s="341">
        <x:f>L114-N114</x:f>
      </x:c>
      <x:c r="M115" s="331">
        <x:f>IF(H115&lt;=NoEchMaxi,ROUND(L115*R115,NbDeci),0)</x:f>
      </x:c>
      <x:c r="N115" s="330">
        <x:f>IF(OR(H115&lt;=Différé,H115&gt;NoEchMaxi),IF(DiffTotal,-M115,0),IF(H115&gt;=NoEchRemb,L115,IF(S115-(M115*EchFIXE)&gt;L115-2,L115,S115-(M115*EchFIXE))))+C115</x:f>
      </x:c>
      <x:c r="O115" s="332">
        <x:f>IF(OR(L115=0,H115&gt;NoEchMaxi),0,ROUND(FraisF+FraisV*L115,NbDeci))+F115</x:f>
      </x:c>
      <x:c r="P115" s="342">
        <x:f>SUM(M115:O115)</x:f>
      </x:c>
      <x:c r="Q115" s="0"/>
      <x:c r="R115" s="71">
        <x:f>IF(B115&gt;0,IF(TauxActuariel,((B115+1)^(1/NbEchAn))-1,B115/NbEchAn),R114)</x:f>
      </x:c>
      <x:c r="S115" s="70">
        <x:f>IF(E115&gt;0,E115,IF(D115&gt;0,IF(AND(EchFIXE,R115&gt;0),ROUND((L115-C115)*R115/(1-((1+R115)^-D115)),NbDeci),ROUND(L115/D115,NbDeci)),S114))</x:f>
      </x:c>
    </x:row>
    <x:row r="116" spans="1:31" x14ac:dyDescent="0.2">
      <x:c r="B116" s="334"/>
      <x:c r="C116" s="335"/>
      <x:c r="D116" s="336"/>
      <x:c r="E116" s="337"/>
      <x:c r="F116" s="338"/>
      <x:c r="H116" s="327">
        <x:f>IF(L116=0,"",H115+1)</x:f>
      </x:c>
      <x:c r="I116" s="328">
        <x:f>IF(L116&gt;0,NbEch+Différé+1-H116,"")</x:f>
      </x:c>
      <x:c r="J116" s="339">
        <x:f>IF(ISNUMBER(K116),YEAR(K116),"")</x:f>
      </x:c>
      <x:c r="K116" s="340">
        <x:f>IF(L116=0,"",IF(Ijour=0,MIN(DATE(YEAR(DebAmort),MONTH(DebAmort)+MoisD+(H116-1)*Imois,Jour2),DATE(YEAR(DebAmort),MONTH(DebAmort)+MoisD+1+(H116-1)*Imois,0)),DATE(YEAR(DebAmort),MONTH(DebAmort),Jour1+(H116-1)*Ijour)))</x:f>
      </x:c>
      <x:c r="L116" s="341">
        <x:f>L115-N115</x:f>
      </x:c>
      <x:c r="M116" s="331">
        <x:f>IF(H116&lt;=NoEchMaxi,ROUND(L116*R116,NbDeci),0)</x:f>
      </x:c>
      <x:c r="N116" s="330">
        <x:f>IF(OR(H116&lt;=Différé,H116&gt;NoEchMaxi),IF(DiffTotal,-M116,0),IF(H116&gt;=NoEchRemb,L116,IF(S116-(M116*EchFIXE)&gt;L116-2,L116,S116-(M116*EchFIXE))))+C116</x:f>
      </x:c>
      <x:c r="O116" s="332">
        <x:f>IF(OR(L116=0,H116&gt;NoEchMaxi),0,ROUND(FraisF+FraisV*L116,NbDeci))+F116</x:f>
      </x:c>
      <x:c r="P116" s="342">
        <x:f>SUM(M116:O116)</x:f>
      </x:c>
      <x:c r="Q116" s="0"/>
      <x:c r="R116" s="71">
        <x:f>IF(B116&gt;0,IF(TauxActuariel,((B116+1)^(1/NbEchAn))-1,B116/NbEchAn),R115)</x:f>
      </x:c>
      <x:c r="S116" s="70">
        <x:f>IF(E116&gt;0,E116,IF(D116&gt;0,IF(AND(EchFIXE,R116&gt;0),ROUND((L116-C116)*R116/(1-((1+R116)^-D116)),NbDeci),ROUND(L116/D116,NbDeci)),S115))</x:f>
      </x:c>
    </x:row>
    <x:row r="117" spans="1:31" x14ac:dyDescent="0.2">
      <x:c r="B117" s="334"/>
      <x:c r="C117" s="335"/>
      <x:c r="D117" s="336"/>
      <x:c r="E117" s="337"/>
      <x:c r="F117" s="338"/>
      <x:c r="H117" s="327">
        <x:f>IF(L117=0,"",H116+1)</x:f>
      </x:c>
      <x:c r="I117" s="328">
        <x:f>IF(L117&gt;0,NbEch+Différé+1-H117,"")</x:f>
      </x:c>
      <x:c r="J117" s="339">
        <x:f>IF(ISNUMBER(K117),YEAR(K117),"")</x:f>
      </x:c>
      <x:c r="K117" s="340">
        <x:f>IF(L117=0,"",IF(Ijour=0,MIN(DATE(YEAR(DebAmort),MONTH(DebAmort)+(H117-1)*Imois,Jour1),DATE(YEAR(DebAmort),MONTH(DebAmort)+1+(H117-1)*Imois,0)),DATE(YEAR(DebAmort),MONTH(DebAmort),Jour1+(H117-1)*Ijour)))</x:f>
      </x:c>
      <x:c r="L117" s="341">
        <x:f>L116-N116</x:f>
      </x:c>
      <x:c r="M117" s="331">
        <x:f>IF(H117&lt;=NoEchMaxi,ROUND(L117*R117,NbDeci),0)</x:f>
      </x:c>
      <x:c r="N117" s="330">
        <x:f>IF(OR(H117&lt;=Différé,H117&gt;NoEchMaxi),IF(DiffTotal,-M117,0),IF(H117&gt;=NoEchRemb,L117,IF(S117-(M117*EchFIXE)&gt;L117-2,L117,S117-(M117*EchFIXE))))+C117</x:f>
      </x:c>
      <x:c r="O117" s="332">
        <x:f>IF(OR(L117=0,H117&gt;NoEchMaxi),0,ROUND(FraisF+FraisV*L117,NbDeci))+F117</x:f>
      </x:c>
      <x:c r="P117" s="342">
        <x:f>SUM(M117:O117)</x:f>
      </x:c>
      <x:c r="Q117" s="0"/>
      <x:c r="R117" s="71">
        <x:f>IF(B117&gt;0,IF(TauxActuariel,((B117+1)^(1/NbEchAn))-1,B117/NbEchAn),R116)</x:f>
      </x:c>
      <x:c r="S117" s="70">
        <x:f>IF(E117&gt;0,E117,IF(D117&gt;0,IF(AND(EchFIXE,R117&gt;0),ROUND((L117-C117)*R117/(1-((1+R117)^-D117)),NbDeci),ROUND(L117/D117,NbDeci)),S116))</x:f>
      </x:c>
    </x:row>
    <x:row r="118" spans="1:31" x14ac:dyDescent="0.2">
      <x:c r="B118" s="334"/>
      <x:c r="C118" s="335"/>
      <x:c r="D118" s="336"/>
      <x:c r="E118" s="337"/>
      <x:c r="F118" s="338"/>
      <x:c r="H118" s="327">
        <x:f>IF(L118=0,"",H117+1)</x:f>
      </x:c>
      <x:c r="I118" s="328">
        <x:f>IF(L118&gt;0,NbEch+Différé+1-H118,"")</x:f>
      </x:c>
      <x:c r="J118" s="339">
        <x:f>IF(ISNUMBER(K118),YEAR(K118),"")</x:f>
      </x:c>
      <x:c r="K118" s="340">
        <x:f>IF(L118=0,"",IF(Ijour=0,MIN(DATE(YEAR(DebAmort),MONTH(DebAmort)+MoisD+(H118-1)*Imois,Jour2),DATE(YEAR(DebAmort),MONTH(DebAmort)+MoisD+1+(H118-1)*Imois,0)),DATE(YEAR(DebAmort),MONTH(DebAmort),Jour1+(H118-1)*Ijour)))</x:f>
      </x:c>
      <x:c r="L118" s="341">
        <x:f>L117-N117</x:f>
      </x:c>
      <x:c r="M118" s="331">
        <x:f>IF(H118&lt;=NoEchMaxi,ROUND(L118*R118,NbDeci),0)</x:f>
      </x:c>
      <x:c r="N118" s="330">
        <x:f>IF(OR(H118&lt;=Différé,H118&gt;NoEchMaxi),IF(DiffTotal,-M118,0),IF(H118&gt;=NoEchRemb,L118,IF(S118-(M118*EchFIXE)&gt;L118-2,L118,S118-(M118*EchFIXE))))+C118</x:f>
      </x:c>
      <x:c r="O118" s="332">
        <x:f>IF(OR(L118=0,H118&gt;NoEchMaxi),0,ROUND(FraisF+FraisV*L118,NbDeci))+F118</x:f>
      </x:c>
      <x:c r="P118" s="342">
        <x:f>SUM(M118:O118)</x:f>
      </x:c>
      <x:c r="Q118" s="0"/>
      <x:c r="R118" s="71">
        <x:f>IF(B118&gt;0,IF(TauxActuariel,((B118+1)^(1/NbEchAn))-1,B118/NbEchAn),R117)</x:f>
      </x:c>
      <x:c r="S118" s="70">
        <x:f>IF(E118&gt;0,E118,IF(D118&gt;0,IF(AND(EchFIXE,R118&gt;0),ROUND((L118-C118)*R118/(1-((1+R118)^-D118)),NbDeci),ROUND(L118/D118,NbDeci)),S117))</x:f>
      </x:c>
    </x:row>
    <x:row r="119" spans="1:31" x14ac:dyDescent="0.2">
      <x:c r="B119" s="334"/>
      <x:c r="C119" s="335"/>
      <x:c r="D119" s="336"/>
      <x:c r="E119" s="337"/>
      <x:c r="F119" s="338"/>
      <x:c r="H119" s="327">
        <x:f>IF(L119=0,"",H118+1)</x:f>
      </x:c>
      <x:c r="I119" s="328">
        <x:f>IF(L119&gt;0,NbEch+Différé+1-H119,"")</x:f>
      </x:c>
      <x:c r="J119" s="339">
        <x:f>IF(ISNUMBER(K119),YEAR(K119),"")</x:f>
      </x:c>
      <x:c r="K119" s="340">
        <x:f>IF(L119=0,"",IF(Ijour=0,MIN(DATE(YEAR(DebAmort),MONTH(DebAmort)+(H119-1)*Imois,Jour1),DATE(YEAR(DebAmort),MONTH(DebAmort)+1+(H119-1)*Imois,0)),DATE(YEAR(DebAmort),MONTH(DebAmort),Jour1+(H119-1)*Ijour)))</x:f>
      </x:c>
      <x:c r="L119" s="341">
        <x:f>L118-N118</x:f>
      </x:c>
      <x:c r="M119" s="331">
        <x:f>IF(H119&lt;=NoEchMaxi,ROUND(L119*R119,NbDeci),0)</x:f>
      </x:c>
      <x:c r="N119" s="330">
        <x:f>IF(OR(H119&lt;=Différé,H119&gt;NoEchMaxi),IF(DiffTotal,-M119,0),IF(H119&gt;=NoEchRemb,L119,IF(S119-(M119*EchFIXE)&gt;L119-2,L119,S119-(M119*EchFIXE))))+C119</x:f>
      </x:c>
      <x:c r="O119" s="332">
        <x:f>IF(OR(L119=0,H119&gt;NoEchMaxi),0,ROUND(FraisF+FraisV*L119,NbDeci))+F119</x:f>
      </x:c>
      <x:c r="P119" s="342">
        <x:f>SUM(M119:O119)</x:f>
      </x:c>
      <x:c r="Q119" s="0"/>
      <x:c r="R119" s="71">
        <x:f>IF(B119&gt;0,IF(TauxActuariel,((B119+1)^(1/NbEchAn))-1,B119/NbEchAn),R118)</x:f>
      </x:c>
      <x:c r="S119" s="70">
        <x:f>IF(E119&gt;0,E119,IF(D119&gt;0,IF(AND(EchFIXE,R119&gt;0),ROUND((L119-C119)*R119/(1-((1+R119)^-D119)),NbDeci),ROUND(L119/D119,NbDeci)),S118))</x:f>
      </x:c>
    </x:row>
    <x:row r="120" spans="1:31" x14ac:dyDescent="0.2">
      <x:c r="B120" s="334"/>
      <x:c r="C120" s="335"/>
      <x:c r="D120" s="336"/>
      <x:c r="E120" s="337"/>
      <x:c r="F120" s="338"/>
      <x:c r="H120" s="327">
        <x:f>IF(L120=0,"",H119+1)</x:f>
      </x:c>
      <x:c r="I120" s="328">
        <x:f>IF(L120&gt;0,NbEch+Différé+1-H120,"")</x:f>
      </x:c>
      <x:c r="J120" s="339">
        <x:f>IF(ISNUMBER(K120),YEAR(K120),"")</x:f>
      </x:c>
      <x:c r="K120" s="340">
        <x:f>IF(L120=0,"",IF(Ijour=0,MIN(DATE(YEAR(DebAmort),MONTH(DebAmort)+MoisD+(H120-1)*Imois,Jour2),DATE(YEAR(DebAmort),MONTH(DebAmort)+MoisD+1+(H120-1)*Imois,0)),DATE(YEAR(DebAmort),MONTH(DebAmort),Jour1+(H120-1)*Ijour)))</x:f>
      </x:c>
      <x:c r="L120" s="341">
        <x:f>L119-N119</x:f>
      </x:c>
      <x:c r="M120" s="331">
        <x:f>IF(H120&lt;=NoEchMaxi,ROUND(L120*R120,NbDeci),0)</x:f>
      </x:c>
      <x:c r="N120" s="330">
        <x:f>IF(OR(H120&lt;=Différé,H120&gt;NoEchMaxi),IF(DiffTotal,-M120,0),IF(H120&gt;=NoEchRemb,L120,IF(S120-(M120*EchFIXE)&gt;L120-2,L120,S120-(M120*EchFIXE))))+C120</x:f>
      </x:c>
      <x:c r="O120" s="332">
        <x:f>IF(OR(L120=0,H120&gt;NoEchMaxi),0,ROUND(FraisF+FraisV*L120,NbDeci))+F120</x:f>
      </x:c>
      <x:c r="P120" s="342">
        <x:f>SUM(M120:O120)</x:f>
      </x:c>
      <x:c r="Q120" s="0"/>
      <x:c r="R120" s="71">
        <x:f>IF(B120&gt;0,IF(TauxActuariel,((B120+1)^(1/NbEchAn))-1,B120/NbEchAn),R119)</x:f>
      </x:c>
      <x:c r="S120" s="70">
        <x:f>IF(E120&gt;0,E120,IF(D120&gt;0,IF(AND(EchFIXE,R120&gt;0),ROUND((L120-C120)*R120/(1-((1+R120)^-D120)),NbDeci),ROUND(L120/D120,NbDeci)),S119))</x:f>
      </x:c>
    </x:row>
    <x:row r="121" spans="1:31" x14ac:dyDescent="0.2">
      <x:c r="B121" s="334"/>
      <x:c r="C121" s="335"/>
      <x:c r="D121" s="336"/>
      <x:c r="E121" s="337"/>
      <x:c r="F121" s="338"/>
      <x:c r="H121" s="327">
        <x:f>IF(L121=0,"",H120+1)</x:f>
      </x:c>
      <x:c r="I121" s="328">
        <x:f>IF(L121&gt;0,NbEch+Différé+1-H121,"")</x:f>
      </x:c>
      <x:c r="J121" s="339">
        <x:f>IF(ISNUMBER(K121),YEAR(K121),"")</x:f>
      </x:c>
      <x:c r="K121" s="340">
        <x:f>IF(L121=0,"",IF(Ijour=0,MIN(DATE(YEAR(DebAmort),MONTH(DebAmort)+(H121-1)*Imois,Jour1),DATE(YEAR(DebAmort),MONTH(DebAmort)+1+(H121-1)*Imois,0)),DATE(YEAR(DebAmort),MONTH(DebAmort),Jour1+(H121-1)*Ijour)))</x:f>
      </x:c>
      <x:c r="L121" s="341">
        <x:f>L120-N120</x:f>
      </x:c>
      <x:c r="M121" s="331">
        <x:f>IF(H121&lt;=NoEchMaxi,ROUND(L121*R121,NbDeci),0)</x:f>
      </x:c>
      <x:c r="N121" s="330">
        <x:f>IF(OR(H121&lt;=Différé,H121&gt;NoEchMaxi),IF(DiffTotal,-M121,0),IF(H121&gt;=NoEchRemb,L121,IF(S121-(M121*EchFIXE)&gt;L121-2,L121,S121-(M121*EchFIXE))))+C121</x:f>
      </x:c>
      <x:c r="O121" s="332">
        <x:f>IF(OR(L121=0,H121&gt;NoEchMaxi),0,ROUND(FraisF+FraisV*L121,NbDeci))+F121</x:f>
      </x:c>
      <x:c r="P121" s="342">
        <x:f>SUM(M121:O121)</x:f>
      </x:c>
      <x:c r="Q121" s="0"/>
      <x:c r="R121" s="71">
        <x:f>IF(B121&gt;0,IF(TauxActuariel,((B121+1)^(1/NbEchAn))-1,B121/NbEchAn),R120)</x:f>
      </x:c>
      <x:c r="S121" s="70">
        <x:f>IF(E121&gt;0,E121,IF(D121&gt;0,IF(AND(EchFIXE,R121&gt;0),ROUND((L121-C121)*R121/(1-((1+R121)^-D121)),NbDeci),ROUND(L121/D121,NbDeci)),S120))</x:f>
      </x:c>
    </x:row>
    <x:row r="122" spans="1:31" x14ac:dyDescent="0.2">
      <x:c r="B122" s="334"/>
      <x:c r="C122" s="335"/>
      <x:c r="D122" s="336"/>
      <x:c r="E122" s="337"/>
      <x:c r="F122" s="338"/>
      <x:c r="H122" s="327">
        <x:f>IF(L122=0,"",H121+1)</x:f>
      </x:c>
      <x:c r="I122" s="328">
        <x:f>IF(L122&gt;0,NbEch+Différé+1-H122,"")</x:f>
      </x:c>
      <x:c r="J122" s="339">
        <x:f>IF(ISNUMBER(K122),YEAR(K122),"")</x:f>
      </x:c>
      <x:c r="K122" s="340">
        <x:f>IF(L122=0,"",IF(Ijour=0,MIN(DATE(YEAR(DebAmort),MONTH(DebAmort)+MoisD+(H122-1)*Imois,Jour2),DATE(YEAR(DebAmort),MONTH(DebAmort)+MoisD+1+(H122-1)*Imois,0)),DATE(YEAR(DebAmort),MONTH(DebAmort),Jour1+(H122-1)*Ijour)))</x:f>
      </x:c>
      <x:c r="L122" s="341">
        <x:f>L121-N121</x:f>
      </x:c>
      <x:c r="M122" s="331">
        <x:f>IF(H122&lt;=NoEchMaxi,ROUND(L122*R122,NbDeci),0)</x:f>
      </x:c>
      <x:c r="N122" s="330">
        <x:f>IF(OR(H122&lt;=Différé,H122&gt;NoEchMaxi),IF(DiffTotal,-M122,0),IF(H122&gt;=NoEchRemb,L122,IF(S122-(M122*EchFIXE)&gt;L122-2,L122,S122-(M122*EchFIXE))))+C122</x:f>
      </x:c>
      <x:c r="O122" s="332">
        <x:f>IF(OR(L122=0,H122&gt;NoEchMaxi),0,ROUND(FraisF+FraisV*L122,NbDeci))+F122</x:f>
      </x:c>
      <x:c r="P122" s="342">
        <x:f>SUM(M122:O122)</x:f>
      </x:c>
      <x:c r="Q122" s="0"/>
      <x:c r="R122" s="71">
        <x:f>IF(B122&gt;0,IF(TauxActuariel,((B122+1)^(1/NbEchAn))-1,B122/NbEchAn),R121)</x:f>
      </x:c>
      <x:c r="S122" s="70">
        <x:f>IF(E122&gt;0,E122,IF(D122&gt;0,IF(AND(EchFIXE,R122&gt;0),ROUND((L122-C122)*R122/(1-((1+R122)^-D122)),NbDeci),ROUND(L122/D122,NbDeci)),S121))</x:f>
      </x:c>
    </x:row>
    <x:row r="123" spans="1:31" x14ac:dyDescent="0.2">
      <x:c r="B123" s="334"/>
      <x:c r="C123" s="335"/>
      <x:c r="D123" s="336"/>
      <x:c r="E123" s="337"/>
      <x:c r="F123" s="338"/>
      <x:c r="H123" s="327">
        <x:f>IF(L123=0,"",H122+1)</x:f>
      </x:c>
      <x:c r="I123" s="328">
        <x:f>IF(L123&gt;0,NbEch+Différé+1-H123,"")</x:f>
      </x:c>
      <x:c r="J123" s="339">
        <x:f>IF(ISNUMBER(K123),YEAR(K123),"")</x:f>
      </x:c>
      <x:c r="K123" s="340">
        <x:f>IF(L123=0,"",IF(Ijour=0,MIN(DATE(YEAR(DebAmort),MONTH(DebAmort)+(H123-1)*Imois,Jour1),DATE(YEAR(DebAmort),MONTH(DebAmort)+1+(H123-1)*Imois,0)),DATE(YEAR(DebAmort),MONTH(DebAmort),Jour1+(H123-1)*Ijour)))</x:f>
      </x:c>
      <x:c r="L123" s="341">
        <x:f>L122-N122</x:f>
      </x:c>
      <x:c r="M123" s="331">
        <x:f>IF(H123&lt;=NoEchMaxi,ROUND(L123*R123,NbDeci),0)</x:f>
      </x:c>
      <x:c r="N123" s="330">
        <x:f>IF(OR(H123&lt;=Différé,H123&gt;NoEchMaxi),IF(DiffTotal,-M123,0),IF(H123&gt;=NoEchRemb,L123,IF(S123-(M123*EchFIXE)&gt;L123-2,L123,S123-(M123*EchFIXE))))+C123</x:f>
      </x:c>
      <x:c r="O123" s="332">
        <x:f>IF(OR(L123=0,H123&gt;NoEchMaxi),0,ROUND(FraisF+FraisV*L123,NbDeci))+F123</x:f>
      </x:c>
      <x:c r="P123" s="342">
        <x:f>SUM(M123:O123)</x:f>
      </x:c>
      <x:c r="Q123" s="0"/>
      <x:c r="R123" s="71">
        <x:f>IF(B123&gt;0,IF(TauxActuariel,((B123+1)^(1/NbEchAn))-1,B123/NbEchAn),R122)</x:f>
      </x:c>
      <x:c r="S123" s="70">
        <x:f>IF(E123&gt;0,E123,IF(D123&gt;0,IF(AND(EchFIXE,R123&gt;0),ROUND((L123-C123)*R123/(1-((1+R123)^-D123)),NbDeci),ROUND(L123/D123,NbDeci)),S122))</x:f>
      </x:c>
    </x:row>
    <x:row r="124" spans="1:31" x14ac:dyDescent="0.2">
      <x:c r="B124" s="334"/>
      <x:c r="C124" s="335"/>
      <x:c r="D124" s="336"/>
      <x:c r="E124" s="337"/>
      <x:c r="F124" s="338"/>
      <x:c r="H124" s="327">
        <x:f>IF(L124=0,"",H123+1)</x:f>
      </x:c>
      <x:c r="I124" s="328">
        <x:f>IF(L124&gt;0,NbEch+Différé+1-H124,"")</x:f>
      </x:c>
      <x:c r="J124" s="339">
        <x:f>IF(ISNUMBER(K124),YEAR(K124),"")</x:f>
      </x:c>
      <x:c r="K124" s="340">
        <x:f>IF(L124=0,"",IF(Ijour=0,MIN(DATE(YEAR(DebAmort),MONTH(DebAmort)+MoisD+(H124-1)*Imois,Jour2),DATE(YEAR(DebAmort),MONTH(DebAmort)+MoisD+1+(H124-1)*Imois,0)),DATE(YEAR(DebAmort),MONTH(DebAmort),Jour1+(H124-1)*Ijour)))</x:f>
      </x:c>
      <x:c r="L124" s="341">
        <x:f>L123-N123</x:f>
      </x:c>
      <x:c r="M124" s="331">
        <x:f>IF(H124&lt;=NoEchMaxi,ROUND(L124*R124,NbDeci),0)</x:f>
      </x:c>
      <x:c r="N124" s="330">
        <x:f>IF(OR(H124&lt;=Différé,H124&gt;NoEchMaxi),IF(DiffTotal,-M124,0),IF(H124&gt;=NoEchRemb,L124,IF(S124-(M124*EchFIXE)&gt;L124-2,L124,S124-(M124*EchFIXE))))+C124</x:f>
      </x:c>
      <x:c r="O124" s="332">
        <x:f>IF(OR(L124=0,H124&gt;NoEchMaxi),0,ROUND(FraisF+FraisV*L124,NbDeci))+F124</x:f>
      </x:c>
      <x:c r="P124" s="342">
        <x:f>SUM(M124:O124)</x:f>
      </x:c>
      <x:c r="Q124" s="0"/>
      <x:c r="R124" s="71">
        <x:f>IF(B124&gt;0,IF(TauxActuariel,((B124+1)^(1/NbEchAn))-1,B124/NbEchAn),R123)</x:f>
      </x:c>
      <x:c r="S124" s="70">
        <x:f>IF(E124&gt;0,E124,IF(D124&gt;0,IF(AND(EchFIXE,R124&gt;0),ROUND((L124-C124)*R124/(1-((1+R124)^-D124)),NbDeci),ROUND(L124/D124,NbDeci)),S123))</x:f>
      </x:c>
    </x:row>
    <x:row r="125" spans="1:31" x14ac:dyDescent="0.2">
      <x:c r="B125" s="334"/>
      <x:c r="C125" s="335"/>
      <x:c r="D125" s="336"/>
      <x:c r="E125" s="337"/>
      <x:c r="F125" s="338"/>
      <x:c r="H125" s="327">
        <x:f>IF(L125=0,"",H124+1)</x:f>
      </x:c>
      <x:c r="I125" s="328">
        <x:f>IF(L125&gt;0,NbEch+Différé+1-H125,"")</x:f>
      </x:c>
      <x:c r="J125" s="339">
        <x:f>IF(ISNUMBER(K125),YEAR(K125),"")</x:f>
      </x:c>
      <x:c r="K125" s="340">
        <x:f>IF(L125=0,"",IF(Ijour=0,MIN(DATE(YEAR(DebAmort),MONTH(DebAmort)+(H125-1)*Imois,Jour1),DATE(YEAR(DebAmort),MONTH(DebAmort)+1+(H125-1)*Imois,0)),DATE(YEAR(DebAmort),MONTH(DebAmort),Jour1+(H125-1)*Ijour)))</x:f>
      </x:c>
      <x:c r="L125" s="341">
        <x:f>L124-N124</x:f>
      </x:c>
      <x:c r="M125" s="331">
        <x:f>IF(H125&lt;=NoEchMaxi,ROUND(L125*R125,NbDeci),0)</x:f>
      </x:c>
      <x:c r="N125" s="330">
        <x:f>IF(OR(H125&lt;=Différé,H125&gt;NoEchMaxi),IF(DiffTotal,-M125,0),IF(H125&gt;=NoEchRemb,L125,IF(S125-(M125*EchFIXE)&gt;L125-2,L125,S125-(M125*EchFIXE))))+C125</x:f>
      </x:c>
      <x:c r="O125" s="332">
        <x:f>IF(OR(L125=0,H125&gt;NoEchMaxi),0,ROUND(FraisF+FraisV*L125,NbDeci))+F125</x:f>
      </x:c>
      <x:c r="P125" s="342">
        <x:f>SUM(M125:O125)</x:f>
      </x:c>
      <x:c r="Q125" s="0"/>
      <x:c r="R125" s="71">
        <x:f>IF(B125&gt;0,IF(TauxActuariel,((B125+1)^(1/NbEchAn))-1,B125/NbEchAn),R124)</x:f>
      </x:c>
      <x:c r="S125" s="70">
        <x:f>IF(E125&gt;0,E125,IF(D125&gt;0,IF(AND(EchFIXE,R125&gt;0),ROUND((L125-C125)*R125/(1-((1+R125)^-D125)),NbDeci),ROUND(L125/D125,NbDeci)),S124))</x:f>
      </x:c>
    </x:row>
    <x:row r="126" spans="1:31" x14ac:dyDescent="0.2">
      <x:c r="B126" s="334"/>
      <x:c r="C126" s="335"/>
      <x:c r="D126" s="336"/>
      <x:c r="E126" s="337"/>
      <x:c r="F126" s="338"/>
      <x:c r="H126" s="327">
        <x:f>IF(L126=0,"",H125+1)</x:f>
      </x:c>
      <x:c r="I126" s="328">
        <x:f>IF(L126&gt;0,NbEch+Différé+1-H126,"")</x:f>
      </x:c>
      <x:c r="J126" s="339">
        <x:f>IF(ISNUMBER(K126),YEAR(K126),"")</x:f>
      </x:c>
      <x:c r="K126" s="340">
        <x:f>IF(L126=0,"",IF(Ijour=0,MIN(DATE(YEAR(DebAmort),MONTH(DebAmort)+MoisD+(H126-1)*Imois,Jour2),DATE(YEAR(DebAmort),MONTH(DebAmort)+MoisD+1+(H126-1)*Imois,0)),DATE(YEAR(DebAmort),MONTH(DebAmort),Jour1+(H126-1)*Ijour)))</x:f>
      </x:c>
      <x:c r="L126" s="341">
        <x:f>L125-N125</x:f>
      </x:c>
      <x:c r="M126" s="331">
        <x:f>IF(H126&lt;=NoEchMaxi,ROUND(L126*R126,NbDeci),0)</x:f>
      </x:c>
      <x:c r="N126" s="330">
        <x:f>IF(OR(H126&lt;=Différé,H126&gt;NoEchMaxi),IF(DiffTotal,-M126,0),IF(H126&gt;=NoEchRemb,L126,IF(S126-(M126*EchFIXE)&gt;L126-2,L126,S126-(M126*EchFIXE))))+C126</x:f>
      </x:c>
      <x:c r="O126" s="332">
        <x:f>IF(OR(L126=0,H126&gt;NoEchMaxi),0,ROUND(FraisF+FraisV*L126,NbDeci))+F126</x:f>
      </x:c>
      <x:c r="P126" s="342">
        <x:f>SUM(M126:O126)</x:f>
      </x:c>
      <x:c r="Q126" s="0"/>
      <x:c r="R126" s="71">
        <x:f>IF(B126&gt;0,IF(TauxActuariel,((B126+1)^(1/NbEchAn))-1,B126/NbEchAn),R125)</x:f>
      </x:c>
      <x:c r="S126" s="70">
        <x:f>IF(E126&gt;0,E126,IF(D126&gt;0,IF(AND(EchFIXE,R126&gt;0),ROUND((L126-C126)*R126/(1-((1+R126)^-D126)),NbDeci),ROUND(L126/D126,NbDeci)),S125))</x:f>
      </x:c>
    </x:row>
    <x:row r="127" spans="1:31" x14ac:dyDescent="0.2">
      <x:c r="B127" s="334"/>
      <x:c r="C127" s="335"/>
      <x:c r="D127" s="336"/>
      <x:c r="E127" s="337"/>
      <x:c r="F127" s="338"/>
      <x:c r="H127" s="327">
        <x:f>IF(L127=0,"",H126+1)</x:f>
      </x:c>
      <x:c r="I127" s="328">
        <x:f>IF(L127&gt;0,NbEch+Différé+1-H127,"")</x:f>
      </x:c>
      <x:c r="J127" s="339">
        <x:f>IF(ISNUMBER(K127),YEAR(K127),"")</x:f>
      </x:c>
      <x:c r="K127" s="340">
        <x:f>IF(L127=0,"",IF(Ijour=0,MIN(DATE(YEAR(DebAmort),MONTH(DebAmort)+(H127-1)*Imois,Jour1),DATE(YEAR(DebAmort),MONTH(DebAmort)+1+(H127-1)*Imois,0)),DATE(YEAR(DebAmort),MONTH(DebAmort),Jour1+(H127-1)*Ijour)))</x:f>
      </x:c>
      <x:c r="L127" s="341">
        <x:f>L126-N126</x:f>
      </x:c>
      <x:c r="M127" s="331">
        <x:f>IF(H127&lt;=NoEchMaxi,ROUND(L127*R127,NbDeci),0)</x:f>
      </x:c>
      <x:c r="N127" s="330">
        <x:f>IF(OR(H127&lt;=Différé,H127&gt;NoEchMaxi),IF(DiffTotal,-M127,0),IF(H127&gt;=NoEchRemb,L127,IF(S127-(M127*EchFIXE)&gt;L127-2,L127,S127-(M127*EchFIXE))))+C127</x:f>
      </x:c>
      <x:c r="O127" s="332">
        <x:f>IF(OR(L127=0,H127&gt;NoEchMaxi),0,ROUND(FraisF+FraisV*L127,NbDeci))+F127</x:f>
      </x:c>
      <x:c r="P127" s="342">
        <x:f>SUM(M127:O127)</x:f>
      </x:c>
      <x:c r="Q127" s="0"/>
      <x:c r="R127" s="71">
        <x:f>IF(B127&gt;0,IF(TauxActuariel,((B127+1)^(1/NbEchAn))-1,B127/NbEchAn),R126)</x:f>
      </x:c>
      <x:c r="S127" s="70">
        <x:f>IF(E127&gt;0,E127,IF(D127&gt;0,IF(AND(EchFIXE,R127&gt;0),ROUND((L127-C127)*R127/(1-((1+R127)^-D127)),NbDeci),ROUND(L127/D127,NbDeci)),S126))</x:f>
      </x:c>
    </x:row>
    <x:row r="128" spans="1:31" x14ac:dyDescent="0.2">
      <x:c r="B128" s="334"/>
      <x:c r="C128" s="335"/>
      <x:c r="D128" s="336"/>
      <x:c r="E128" s="337"/>
      <x:c r="F128" s="338"/>
      <x:c r="H128" s="327">
        <x:f>IF(L128=0,"",H127+1)</x:f>
      </x:c>
      <x:c r="I128" s="328">
        <x:f>IF(L128&gt;0,NbEch+Différé+1-H128,"")</x:f>
      </x:c>
      <x:c r="J128" s="339">
        <x:f>IF(ISNUMBER(K128),YEAR(K128),"")</x:f>
      </x:c>
      <x:c r="K128" s="340">
        <x:f>IF(L128=0,"",IF(Ijour=0,MIN(DATE(YEAR(DebAmort),MONTH(DebAmort)+MoisD+(H128-1)*Imois,Jour2),DATE(YEAR(DebAmort),MONTH(DebAmort)+MoisD+1+(H128-1)*Imois,0)),DATE(YEAR(DebAmort),MONTH(DebAmort),Jour1+(H128-1)*Ijour)))</x:f>
      </x:c>
      <x:c r="L128" s="341">
        <x:f>L127-N127</x:f>
      </x:c>
      <x:c r="M128" s="331">
        <x:f>IF(H128&lt;=NoEchMaxi,ROUND(L128*R128,NbDeci),0)</x:f>
      </x:c>
      <x:c r="N128" s="330">
        <x:f>IF(OR(H128&lt;=Différé,H128&gt;NoEchMaxi),IF(DiffTotal,-M128,0),IF(H128&gt;=NoEchRemb,L128,IF(S128-(M128*EchFIXE)&gt;L128-2,L128,S128-(M128*EchFIXE))))+C128</x:f>
      </x:c>
      <x:c r="O128" s="332">
        <x:f>IF(OR(L128=0,H128&gt;NoEchMaxi),0,ROUND(FraisF+FraisV*L128,NbDeci))+F128</x:f>
      </x:c>
      <x:c r="P128" s="342">
        <x:f>SUM(M128:O128)</x:f>
      </x:c>
      <x:c r="Q128" s="0"/>
      <x:c r="R128" s="71">
        <x:f>IF(B128&gt;0,IF(TauxActuariel,((B128+1)^(1/NbEchAn))-1,B128/NbEchAn),R127)</x:f>
      </x:c>
      <x:c r="S128" s="70">
        <x:f>IF(E128&gt;0,E128,IF(D128&gt;0,IF(AND(EchFIXE,R128&gt;0),ROUND((L128-C128)*R128/(1-((1+R128)^-D128)),NbDeci),ROUND(L128/D128,NbDeci)),S127))</x:f>
      </x:c>
    </x:row>
    <x:row r="129" spans="1:31" x14ac:dyDescent="0.2">
      <x:c r="B129" s="334"/>
      <x:c r="C129" s="335"/>
      <x:c r="D129" s="336"/>
      <x:c r="E129" s="337"/>
      <x:c r="F129" s="338"/>
      <x:c r="H129" s="327">
        <x:f>IF(L129=0,"",H128+1)</x:f>
      </x:c>
      <x:c r="I129" s="328">
        <x:f>IF(L129&gt;0,NbEch+Différé+1-H129,"")</x:f>
      </x:c>
      <x:c r="J129" s="339">
        <x:f>IF(ISNUMBER(K129),YEAR(K129),"")</x:f>
      </x:c>
      <x:c r="K129" s="340">
        <x:f>IF(L129=0,"",IF(Ijour=0,MIN(DATE(YEAR(DebAmort),MONTH(DebAmort)+(H129-1)*Imois,Jour1),DATE(YEAR(DebAmort),MONTH(DebAmort)+1+(H129-1)*Imois,0)),DATE(YEAR(DebAmort),MONTH(DebAmort),Jour1+(H129-1)*Ijour)))</x:f>
      </x:c>
      <x:c r="L129" s="341">
        <x:f>L128-N128</x:f>
      </x:c>
      <x:c r="M129" s="331">
        <x:f>IF(H129&lt;=NoEchMaxi,ROUND(L129*R129,NbDeci),0)</x:f>
      </x:c>
      <x:c r="N129" s="330">
        <x:f>IF(OR(H129&lt;=Différé,H129&gt;NoEchMaxi),IF(DiffTotal,-M129,0),IF(H129&gt;=NoEchRemb,L129,IF(S129-(M129*EchFIXE)&gt;L129-2,L129,S129-(M129*EchFIXE))))+C129</x:f>
      </x:c>
      <x:c r="O129" s="332">
        <x:f>IF(OR(L129=0,H129&gt;NoEchMaxi),0,ROUND(FraisF+FraisV*L129,NbDeci))+F129</x:f>
      </x:c>
      <x:c r="P129" s="342">
        <x:f>SUM(M129:O129)</x:f>
      </x:c>
      <x:c r="Q129" s="0"/>
      <x:c r="R129" s="71">
        <x:f>IF(B129&gt;0,IF(TauxActuariel,((B129+1)^(1/NbEchAn))-1,B129/NbEchAn),R128)</x:f>
      </x:c>
      <x:c r="S129" s="70">
        <x:f>IF(E129&gt;0,E129,IF(D129&gt;0,IF(AND(EchFIXE,R129&gt;0),ROUND((L129-C129)*R129/(1-((1+R129)^-D129)),NbDeci),ROUND(L129/D129,NbDeci)),S128))</x:f>
      </x:c>
    </x:row>
    <x:row r="130" spans="1:31" x14ac:dyDescent="0.2">
      <x:c r="B130" s="334"/>
      <x:c r="C130" s="335"/>
      <x:c r="D130" s="336"/>
      <x:c r="E130" s="337"/>
      <x:c r="F130" s="338"/>
      <x:c r="H130" s="327">
        <x:f>IF(L130=0,"",H129+1)</x:f>
      </x:c>
      <x:c r="I130" s="328">
        <x:f>IF(L130&gt;0,NbEch+Différé+1-H130,"")</x:f>
      </x:c>
      <x:c r="J130" s="339">
        <x:f>IF(ISNUMBER(K130),YEAR(K130),"")</x:f>
      </x:c>
      <x:c r="K130" s="340">
        <x:f>IF(L130=0,"",IF(Ijour=0,MIN(DATE(YEAR(DebAmort),MONTH(DebAmort)+MoisD+(H130-1)*Imois,Jour2),DATE(YEAR(DebAmort),MONTH(DebAmort)+MoisD+1+(H130-1)*Imois,0)),DATE(YEAR(DebAmort),MONTH(DebAmort),Jour1+(H130-1)*Ijour)))</x:f>
      </x:c>
      <x:c r="L130" s="341">
        <x:f>L129-N129</x:f>
      </x:c>
      <x:c r="M130" s="331">
        <x:f>IF(H130&lt;=NoEchMaxi,ROUND(L130*R130,NbDeci),0)</x:f>
      </x:c>
      <x:c r="N130" s="330">
        <x:f>IF(OR(H130&lt;=Différé,H130&gt;NoEchMaxi),IF(DiffTotal,-M130,0),IF(H130&gt;=NoEchRemb,L130,IF(S130-(M130*EchFIXE)&gt;L130-2,L130,S130-(M130*EchFIXE))))+C130</x:f>
      </x:c>
      <x:c r="O130" s="332">
        <x:f>IF(OR(L130=0,H130&gt;NoEchMaxi),0,ROUND(FraisF+FraisV*L130,NbDeci))+F130</x:f>
      </x:c>
      <x:c r="P130" s="342">
        <x:f>SUM(M130:O130)</x:f>
      </x:c>
      <x:c r="Q130" s="0"/>
      <x:c r="R130" s="71">
        <x:f>IF(B130&gt;0,IF(TauxActuariel,((B130+1)^(1/NbEchAn))-1,B130/NbEchAn),R129)</x:f>
      </x:c>
      <x:c r="S130" s="70">
        <x:f>IF(E130&gt;0,E130,IF(D130&gt;0,IF(AND(EchFIXE,R130&gt;0),ROUND((L130-C130)*R130/(1-((1+R130)^-D130)),NbDeci),ROUND(L130/D130,NbDeci)),S129))</x:f>
      </x:c>
    </x:row>
    <x:row r="131" spans="1:31" x14ac:dyDescent="0.2">
      <x:c r="B131" s="334"/>
      <x:c r="C131" s="335"/>
      <x:c r="D131" s="336"/>
      <x:c r="E131" s="337"/>
      <x:c r="F131" s="338"/>
      <x:c r="H131" s="327">
        <x:f>IF(L131=0,"",H130+1)</x:f>
      </x:c>
      <x:c r="I131" s="328">
        <x:f>IF(L131&gt;0,NbEch+Différé+1-H131,"")</x:f>
      </x:c>
      <x:c r="J131" s="339">
        <x:f>IF(ISNUMBER(K131),YEAR(K131),"")</x:f>
      </x:c>
      <x:c r="K131" s="340">
        <x:f>IF(L131=0,"",IF(Ijour=0,MIN(DATE(YEAR(DebAmort),MONTH(DebAmort)+(H131-1)*Imois,Jour1),DATE(YEAR(DebAmort),MONTH(DebAmort)+1+(H131-1)*Imois,0)),DATE(YEAR(DebAmort),MONTH(DebAmort),Jour1+(H131-1)*Ijour)))</x:f>
      </x:c>
      <x:c r="L131" s="341">
        <x:f>L130-N130</x:f>
      </x:c>
      <x:c r="M131" s="331">
        <x:f>IF(H131&lt;=NoEchMaxi,ROUND(L131*R131,NbDeci),0)</x:f>
      </x:c>
      <x:c r="N131" s="330">
        <x:f>IF(OR(H131&lt;=Différé,H131&gt;NoEchMaxi),IF(DiffTotal,-M131,0),IF(H131&gt;=NoEchRemb,L131,IF(S131-(M131*EchFIXE)&gt;L131-2,L131,S131-(M131*EchFIXE))))+C131</x:f>
      </x:c>
      <x:c r="O131" s="332">
        <x:f>IF(OR(L131=0,H131&gt;NoEchMaxi),0,ROUND(FraisF+FraisV*L131,NbDeci))+F131</x:f>
      </x:c>
      <x:c r="P131" s="342">
        <x:f>SUM(M131:O131)</x:f>
      </x:c>
      <x:c r="Q131" s="0"/>
      <x:c r="R131" s="71">
        <x:f>IF(B131&gt;0,IF(TauxActuariel,((B131+1)^(1/NbEchAn))-1,B131/NbEchAn),R130)</x:f>
      </x:c>
      <x:c r="S131" s="70">
        <x:f>IF(E131&gt;0,E131,IF(D131&gt;0,IF(AND(EchFIXE,R131&gt;0),ROUND((L131-C131)*R131/(1-((1+R131)^-D131)),NbDeci),ROUND(L131/D131,NbDeci)),S130))</x:f>
      </x:c>
    </x:row>
    <x:row r="132" spans="1:31" x14ac:dyDescent="0.2">
      <x:c r="B132" s="334"/>
      <x:c r="C132" s="335"/>
      <x:c r="D132" s="336"/>
      <x:c r="E132" s="337"/>
      <x:c r="F132" s="338"/>
      <x:c r="H132" s="327">
        <x:f>IF(L132=0,"",H131+1)</x:f>
      </x:c>
      <x:c r="I132" s="328">
        <x:f>IF(L132&gt;0,NbEch+Différé+1-H132,"")</x:f>
      </x:c>
      <x:c r="J132" s="339">
        <x:f>IF(ISNUMBER(K132),YEAR(K132),"")</x:f>
      </x:c>
      <x:c r="K132" s="340">
        <x:f>IF(L132=0,"",IF(Ijour=0,MIN(DATE(YEAR(DebAmort),MONTH(DebAmort)+MoisD+(H132-1)*Imois,Jour2),DATE(YEAR(DebAmort),MONTH(DebAmort)+MoisD+1+(H132-1)*Imois,0)),DATE(YEAR(DebAmort),MONTH(DebAmort),Jour1+(H132-1)*Ijour)))</x:f>
      </x:c>
      <x:c r="L132" s="341">
        <x:f>L131-N131</x:f>
      </x:c>
      <x:c r="M132" s="331">
        <x:f>IF(H132&lt;=NoEchMaxi,ROUND(L132*R132,NbDeci),0)</x:f>
      </x:c>
      <x:c r="N132" s="330">
        <x:f>IF(OR(H132&lt;=Différé,H132&gt;NoEchMaxi),IF(DiffTotal,-M132,0),IF(H132&gt;=NoEchRemb,L132,IF(S132-(M132*EchFIXE)&gt;L132-2,L132,S132-(M132*EchFIXE))))+C132</x:f>
      </x:c>
      <x:c r="O132" s="332">
        <x:f>IF(OR(L132=0,H132&gt;NoEchMaxi),0,ROUND(FraisF+FraisV*L132,NbDeci))+F132</x:f>
      </x:c>
      <x:c r="P132" s="342">
        <x:f>SUM(M132:O132)</x:f>
      </x:c>
      <x:c r="Q132" s="0"/>
      <x:c r="R132" s="71">
        <x:f>IF(B132&gt;0,IF(TauxActuariel,((B132+1)^(1/NbEchAn))-1,B132/NbEchAn),R131)</x:f>
      </x:c>
      <x:c r="S132" s="70">
        <x:f>IF(E132&gt;0,E132,IF(D132&gt;0,IF(AND(EchFIXE,R132&gt;0),ROUND((L132-C132)*R132/(1-((1+R132)^-D132)),NbDeci),ROUND(L132/D132,NbDeci)),S131))</x:f>
      </x:c>
    </x:row>
    <x:row r="133" spans="1:31" x14ac:dyDescent="0.2">
      <x:c r="B133" s="334"/>
      <x:c r="C133" s="335"/>
      <x:c r="D133" s="336"/>
      <x:c r="E133" s="337"/>
      <x:c r="F133" s="338"/>
      <x:c r="H133" s="327">
        <x:f>IF(L133=0,"",H132+1)</x:f>
      </x:c>
      <x:c r="I133" s="328">
        <x:f>IF(L133&gt;0,NbEch+Différé+1-H133,"")</x:f>
      </x:c>
      <x:c r="J133" s="339">
        <x:f>IF(ISNUMBER(K133),YEAR(K133),"")</x:f>
      </x:c>
      <x:c r="K133" s="340">
        <x:f>IF(L133=0,"",IF(Ijour=0,MIN(DATE(YEAR(DebAmort),MONTH(DebAmort)+(H133-1)*Imois,Jour1),DATE(YEAR(DebAmort),MONTH(DebAmort)+1+(H133-1)*Imois,0)),DATE(YEAR(DebAmort),MONTH(DebAmort),Jour1+(H133-1)*Ijour)))</x:f>
      </x:c>
      <x:c r="L133" s="341">
        <x:f>L132-N132</x:f>
      </x:c>
      <x:c r="M133" s="331">
        <x:f>IF(H133&lt;=NoEchMaxi,ROUND(L133*R133,NbDeci),0)</x:f>
      </x:c>
      <x:c r="N133" s="330">
        <x:f>IF(OR(H133&lt;=Différé,H133&gt;NoEchMaxi),IF(DiffTotal,-M133,0),IF(H133&gt;=NoEchRemb,L133,IF(S133-(M133*EchFIXE)&gt;L133-2,L133,S133-(M133*EchFIXE))))+C133</x:f>
      </x:c>
      <x:c r="O133" s="332">
        <x:f>IF(OR(L133=0,H133&gt;NoEchMaxi),0,ROUND(FraisF+FraisV*L133,NbDeci))+F133</x:f>
      </x:c>
      <x:c r="P133" s="342">
        <x:f>SUM(M133:O133)</x:f>
      </x:c>
      <x:c r="Q133" s="0"/>
      <x:c r="R133" s="71">
        <x:f>IF(B133&gt;0,IF(TauxActuariel,((B133+1)^(1/NbEchAn))-1,B133/NbEchAn),R132)</x:f>
      </x:c>
      <x:c r="S133" s="70">
        <x:f>IF(E133&gt;0,E133,IF(D133&gt;0,IF(AND(EchFIXE,R133&gt;0),ROUND((L133-C133)*R133/(1-((1+R133)^-D133)),NbDeci),ROUND(L133/D133,NbDeci)),S132))</x:f>
      </x:c>
    </x:row>
    <x:row r="134" spans="1:31" x14ac:dyDescent="0.2">
      <x:c r="B134" s="334"/>
      <x:c r="C134" s="335"/>
      <x:c r="D134" s="336"/>
      <x:c r="E134" s="337"/>
      <x:c r="F134" s="338"/>
      <x:c r="H134" s="327">
        <x:f>IF(L134=0,"",H133+1)</x:f>
      </x:c>
      <x:c r="I134" s="328">
        <x:f>IF(L134&gt;0,NbEch+Différé+1-H134,"")</x:f>
      </x:c>
      <x:c r="J134" s="339">
        <x:f>IF(ISNUMBER(K134),YEAR(K134),"")</x:f>
      </x:c>
      <x:c r="K134" s="340">
        <x:f>IF(L134=0,"",IF(Ijour=0,MIN(DATE(YEAR(DebAmort),MONTH(DebAmort)+MoisD+(H134-1)*Imois,Jour2),DATE(YEAR(DebAmort),MONTH(DebAmort)+MoisD+1+(H134-1)*Imois,0)),DATE(YEAR(DebAmort),MONTH(DebAmort),Jour1+(H134-1)*Ijour)))</x:f>
      </x:c>
      <x:c r="L134" s="341">
        <x:f>L133-N133</x:f>
      </x:c>
      <x:c r="M134" s="331">
        <x:f>IF(H134&lt;=NoEchMaxi,ROUND(L134*R134,NbDeci),0)</x:f>
      </x:c>
      <x:c r="N134" s="330">
        <x:f>IF(OR(H134&lt;=Différé,H134&gt;NoEchMaxi),IF(DiffTotal,-M134,0),IF(H134&gt;=NoEchRemb,L134,IF(S134-(M134*EchFIXE)&gt;L134-2,L134,S134-(M134*EchFIXE))))+C134</x:f>
      </x:c>
      <x:c r="O134" s="332">
        <x:f>IF(OR(L134=0,H134&gt;NoEchMaxi),0,ROUND(FraisF+FraisV*L134,NbDeci))+F134</x:f>
      </x:c>
      <x:c r="P134" s="342">
        <x:f>SUM(M134:O134)</x:f>
      </x:c>
      <x:c r="Q134" s="0"/>
      <x:c r="R134" s="71">
        <x:f>IF(B134&gt;0,IF(TauxActuariel,((B134+1)^(1/NbEchAn))-1,B134/NbEchAn),R133)</x:f>
      </x:c>
      <x:c r="S134" s="70">
        <x:f>IF(E134&gt;0,E134,IF(D134&gt;0,IF(AND(EchFIXE,R134&gt;0),ROUND((L134-C134)*R134/(1-((1+R134)^-D134)),NbDeci),ROUND(L134/D134,NbDeci)),S133))</x:f>
      </x:c>
    </x:row>
    <x:row r="135" spans="1:31" x14ac:dyDescent="0.2">
      <x:c r="B135" s="334"/>
      <x:c r="C135" s="335"/>
      <x:c r="D135" s="336"/>
      <x:c r="E135" s="337"/>
      <x:c r="F135" s="338"/>
      <x:c r="H135" s="327">
        <x:f>IF(L135=0,"",H134+1)</x:f>
      </x:c>
      <x:c r="I135" s="328">
        <x:f>IF(L135&gt;0,NbEch+Différé+1-H135,"")</x:f>
      </x:c>
      <x:c r="J135" s="339">
        <x:f>IF(ISNUMBER(K135),YEAR(K135),"")</x:f>
      </x:c>
      <x:c r="K135" s="340">
        <x:f>IF(L135=0,"",IF(Ijour=0,MIN(DATE(YEAR(DebAmort),MONTH(DebAmort)+(H135-1)*Imois,Jour1),DATE(YEAR(DebAmort),MONTH(DebAmort)+1+(H135-1)*Imois,0)),DATE(YEAR(DebAmort),MONTH(DebAmort),Jour1+(H135-1)*Ijour)))</x:f>
      </x:c>
      <x:c r="L135" s="341">
        <x:f>L134-N134</x:f>
      </x:c>
      <x:c r="M135" s="331">
        <x:f>IF(H135&lt;=NoEchMaxi,ROUND(L135*R135,NbDeci),0)</x:f>
      </x:c>
      <x:c r="N135" s="330">
        <x:f>IF(OR(H135&lt;=Différé,H135&gt;NoEchMaxi),IF(DiffTotal,-M135,0),IF(H135&gt;=NoEchRemb,L135,IF(S135-(M135*EchFIXE)&gt;L135-2,L135,S135-(M135*EchFIXE))))+C135</x:f>
      </x:c>
      <x:c r="O135" s="332">
        <x:f>IF(OR(L135=0,H135&gt;NoEchMaxi),0,ROUND(FraisF+FraisV*L135,NbDeci))+F135</x:f>
      </x:c>
      <x:c r="P135" s="342">
        <x:f>SUM(M135:O135)</x:f>
      </x:c>
      <x:c r="Q135" s="0"/>
      <x:c r="R135" s="71">
        <x:f>IF(B135&gt;0,IF(TauxActuariel,((B135+1)^(1/NbEchAn))-1,B135/NbEchAn),R134)</x:f>
      </x:c>
      <x:c r="S135" s="70">
        <x:f>IF(E135&gt;0,E135,IF(D135&gt;0,IF(AND(EchFIXE,R135&gt;0),ROUND((L135-C135)*R135/(1-((1+R135)^-D135)),NbDeci),ROUND(L135/D135,NbDeci)),S134))</x:f>
      </x:c>
    </x:row>
    <x:row r="136" spans="1:31" x14ac:dyDescent="0.2">
      <x:c r="B136" s="334"/>
      <x:c r="C136" s="335"/>
      <x:c r="D136" s="336"/>
      <x:c r="E136" s="337"/>
      <x:c r="F136" s="338"/>
      <x:c r="H136" s="327">
        <x:f>IF(L136=0,"",H135+1)</x:f>
      </x:c>
      <x:c r="I136" s="328">
        <x:f>IF(L136&gt;0,NbEch+Différé+1-H136,"")</x:f>
      </x:c>
      <x:c r="J136" s="339">
        <x:f>IF(ISNUMBER(K136),YEAR(K136),"")</x:f>
      </x:c>
      <x:c r="K136" s="340">
        <x:f>IF(L136=0,"",IF(Ijour=0,MIN(DATE(YEAR(DebAmort),MONTH(DebAmort)+MoisD+(H136-1)*Imois,Jour2),DATE(YEAR(DebAmort),MONTH(DebAmort)+MoisD+1+(H136-1)*Imois,0)),DATE(YEAR(DebAmort),MONTH(DebAmort),Jour1+(H136-1)*Ijour)))</x:f>
      </x:c>
      <x:c r="L136" s="341">
        <x:f>L135-N135</x:f>
      </x:c>
      <x:c r="M136" s="331">
        <x:f>IF(H136&lt;=NoEchMaxi,ROUND(L136*R136,NbDeci),0)</x:f>
      </x:c>
      <x:c r="N136" s="330">
        <x:f>IF(OR(H136&lt;=Différé,H136&gt;NoEchMaxi),IF(DiffTotal,-M136,0),IF(H136&gt;=NoEchRemb,L136,IF(S136-(M136*EchFIXE)&gt;L136-2,L136,S136-(M136*EchFIXE))))+C136</x:f>
      </x:c>
      <x:c r="O136" s="332">
        <x:f>IF(OR(L136=0,H136&gt;NoEchMaxi),0,ROUND(FraisF+FraisV*L136,NbDeci))+F136</x:f>
      </x:c>
      <x:c r="P136" s="342">
        <x:f>SUM(M136:O136)</x:f>
      </x:c>
      <x:c r="Q136" s="0"/>
      <x:c r="R136" s="71">
        <x:f>IF(B136&gt;0,IF(TauxActuariel,((B136+1)^(1/NbEchAn))-1,B136/NbEchAn),R135)</x:f>
      </x:c>
      <x:c r="S136" s="70">
        <x:f>IF(E136&gt;0,E136,IF(D136&gt;0,IF(AND(EchFIXE,R136&gt;0),ROUND((L136-C136)*R136/(1-((1+R136)^-D136)),NbDeci),ROUND(L136/D136,NbDeci)),S135))</x:f>
      </x:c>
    </x:row>
    <x:row r="137" spans="1:31" x14ac:dyDescent="0.2">
      <x:c r="B137" s="334"/>
      <x:c r="C137" s="335"/>
      <x:c r="D137" s="336"/>
      <x:c r="E137" s="337"/>
      <x:c r="F137" s="338"/>
      <x:c r="H137" s="327">
        <x:f>IF(L137=0,"",H136+1)</x:f>
      </x:c>
      <x:c r="I137" s="328">
        <x:f>IF(L137&gt;0,NbEch+Différé+1-H137,"")</x:f>
      </x:c>
      <x:c r="J137" s="339">
        <x:f>IF(ISNUMBER(K137),YEAR(K137),"")</x:f>
      </x:c>
      <x:c r="K137" s="340">
        <x:f>IF(L137=0,"",IF(Ijour=0,MIN(DATE(YEAR(DebAmort),MONTH(DebAmort)+(H137-1)*Imois,Jour1),DATE(YEAR(DebAmort),MONTH(DebAmort)+1+(H137-1)*Imois,0)),DATE(YEAR(DebAmort),MONTH(DebAmort),Jour1+(H137-1)*Ijour)))</x:f>
      </x:c>
      <x:c r="L137" s="341">
        <x:f>L136-N136</x:f>
      </x:c>
      <x:c r="M137" s="331">
        <x:f>IF(H137&lt;=NoEchMaxi,ROUND(L137*R137,NbDeci),0)</x:f>
      </x:c>
      <x:c r="N137" s="330">
        <x:f>IF(OR(H137&lt;=Différé,H137&gt;NoEchMaxi),IF(DiffTotal,-M137,0),IF(H137&gt;=NoEchRemb,L137,IF(S137-(M137*EchFIXE)&gt;L137-2,L137,S137-(M137*EchFIXE))))+C137</x:f>
      </x:c>
      <x:c r="O137" s="332">
        <x:f>IF(OR(L137=0,H137&gt;NoEchMaxi),0,ROUND(FraisF+FraisV*L137,NbDeci))+F137</x:f>
      </x:c>
      <x:c r="P137" s="342">
        <x:f>SUM(M137:O137)</x:f>
      </x:c>
      <x:c r="Q137" s="0"/>
      <x:c r="R137" s="71">
        <x:f>IF(B137&gt;0,IF(TauxActuariel,((B137+1)^(1/NbEchAn))-1,B137/NbEchAn),R136)</x:f>
      </x:c>
      <x:c r="S137" s="70">
        <x:f>IF(E137&gt;0,E137,IF(D137&gt;0,IF(AND(EchFIXE,R137&gt;0),ROUND((L137-C137)*R137/(1-((1+R137)^-D137)),NbDeci),ROUND(L137/D137,NbDeci)),S136))</x:f>
      </x:c>
    </x:row>
    <x:row r="138" spans="1:31" x14ac:dyDescent="0.2">
      <x:c r="B138" s="334"/>
      <x:c r="C138" s="335"/>
      <x:c r="D138" s="336"/>
      <x:c r="E138" s="337"/>
      <x:c r="F138" s="338"/>
      <x:c r="H138" s="327">
        <x:f>IF(L138=0,"",H137+1)</x:f>
      </x:c>
      <x:c r="I138" s="328">
        <x:f>IF(L138&gt;0,NbEch+Différé+1-H138,"")</x:f>
      </x:c>
      <x:c r="J138" s="339">
        <x:f>IF(ISNUMBER(K138),YEAR(K138),"")</x:f>
      </x:c>
      <x:c r="K138" s="340">
        <x:f>IF(L138=0,"",IF(Ijour=0,MIN(DATE(YEAR(DebAmort),MONTH(DebAmort)+MoisD+(H138-1)*Imois,Jour2),DATE(YEAR(DebAmort),MONTH(DebAmort)+MoisD+1+(H138-1)*Imois,0)),DATE(YEAR(DebAmort),MONTH(DebAmort),Jour1+(H138-1)*Ijour)))</x:f>
      </x:c>
      <x:c r="L138" s="341">
        <x:f>L137-N137</x:f>
      </x:c>
      <x:c r="M138" s="331">
        <x:f>IF(H138&lt;=NoEchMaxi,ROUND(L138*R138,NbDeci),0)</x:f>
      </x:c>
      <x:c r="N138" s="330">
        <x:f>IF(OR(H138&lt;=Différé,H138&gt;NoEchMaxi),IF(DiffTotal,-M138,0),IF(H138&gt;=NoEchRemb,L138,IF(S138-(M138*EchFIXE)&gt;L138-2,L138,S138-(M138*EchFIXE))))+C138</x:f>
      </x:c>
      <x:c r="O138" s="332">
        <x:f>IF(OR(L138=0,H138&gt;NoEchMaxi),0,ROUND(FraisF+FraisV*L138,NbDeci))+F138</x:f>
      </x:c>
      <x:c r="P138" s="342">
        <x:f>SUM(M138:O138)</x:f>
      </x:c>
      <x:c r="Q138" s="0"/>
      <x:c r="R138" s="71">
        <x:f>IF(B138&gt;0,IF(TauxActuariel,((B138+1)^(1/NbEchAn))-1,B138/NbEchAn),R137)</x:f>
      </x:c>
      <x:c r="S138" s="70">
        <x:f>IF(E138&gt;0,E138,IF(D138&gt;0,IF(AND(EchFIXE,R138&gt;0),ROUND((L138-C138)*R138/(1-((1+R138)^-D138)),NbDeci),ROUND(L138/D138,NbDeci)),S137))</x:f>
      </x:c>
    </x:row>
    <x:row r="139" spans="1:31" x14ac:dyDescent="0.2">
      <x:c r="B139" s="334"/>
      <x:c r="C139" s="335"/>
      <x:c r="D139" s="336"/>
      <x:c r="E139" s="337"/>
      <x:c r="F139" s="338"/>
      <x:c r="H139" s="327">
        <x:f>IF(L139=0,"",H138+1)</x:f>
      </x:c>
      <x:c r="I139" s="328">
        <x:f>IF(L139&gt;0,NbEch+Différé+1-H139,"")</x:f>
      </x:c>
      <x:c r="J139" s="339">
        <x:f>IF(ISNUMBER(K139),YEAR(K139),"")</x:f>
      </x:c>
      <x:c r="K139" s="340">
        <x:f>IF(L139=0,"",IF(Ijour=0,MIN(DATE(YEAR(DebAmort),MONTH(DebAmort)+(H139-1)*Imois,Jour1),DATE(YEAR(DebAmort),MONTH(DebAmort)+1+(H139-1)*Imois,0)),DATE(YEAR(DebAmort),MONTH(DebAmort),Jour1+(H139-1)*Ijour)))</x:f>
      </x:c>
      <x:c r="L139" s="341">
        <x:f>L138-N138</x:f>
      </x:c>
      <x:c r="M139" s="331">
        <x:f>IF(H139&lt;=NoEchMaxi,ROUND(L139*R139,NbDeci),0)</x:f>
      </x:c>
      <x:c r="N139" s="330">
        <x:f>IF(OR(H139&lt;=Différé,H139&gt;NoEchMaxi),IF(DiffTotal,-M139,0),IF(H139&gt;=NoEchRemb,L139,IF(S139-(M139*EchFIXE)&gt;L139-2,L139,S139-(M139*EchFIXE))))+C139</x:f>
      </x:c>
      <x:c r="O139" s="332">
        <x:f>IF(OR(L139=0,H139&gt;NoEchMaxi),0,ROUND(FraisF+FraisV*L139,NbDeci))+F139</x:f>
      </x:c>
      <x:c r="P139" s="342">
        <x:f>SUM(M139:O139)</x:f>
      </x:c>
      <x:c r="Q139" s="0"/>
      <x:c r="R139" s="71">
        <x:f>IF(B139&gt;0,IF(TauxActuariel,((B139+1)^(1/NbEchAn))-1,B139/NbEchAn),R138)</x:f>
      </x:c>
      <x:c r="S139" s="70">
        <x:f>IF(E139&gt;0,E139,IF(D139&gt;0,IF(AND(EchFIXE,R139&gt;0),ROUND((L139-C139)*R139/(1-((1+R139)^-D139)),NbDeci),ROUND(L139/D139,NbDeci)),S138))</x:f>
      </x:c>
    </x:row>
    <x:row r="140" spans="1:31" x14ac:dyDescent="0.2">
      <x:c r="B140" s="334"/>
      <x:c r="C140" s="335"/>
      <x:c r="D140" s="336"/>
      <x:c r="E140" s="337"/>
      <x:c r="F140" s="338"/>
      <x:c r="H140" s="327">
        <x:f>IF(L140=0,"",H139+1)</x:f>
      </x:c>
      <x:c r="I140" s="328">
        <x:f>IF(L140&gt;0,NbEch+Différé+1-H140,"")</x:f>
      </x:c>
      <x:c r="J140" s="339">
        <x:f>IF(ISNUMBER(K140),YEAR(K140),"")</x:f>
      </x:c>
      <x:c r="K140" s="340">
        <x:f>IF(L140=0,"",IF(Ijour=0,MIN(DATE(YEAR(DebAmort),MONTH(DebAmort)+MoisD+(H140-1)*Imois,Jour2),DATE(YEAR(DebAmort),MONTH(DebAmort)+MoisD+1+(H140-1)*Imois,0)),DATE(YEAR(DebAmort),MONTH(DebAmort),Jour1+(H140-1)*Ijour)))</x:f>
      </x:c>
      <x:c r="L140" s="341">
        <x:f>L139-N139</x:f>
      </x:c>
      <x:c r="M140" s="331">
        <x:f>IF(H140&lt;=NoEchMaxi,ROUND(L140*R140,NbDeci),0)</x:f>
      </x:c>
      <x:c r="N140" s="330">
        <x:f>IF(OR(H140&lt;=Différé,H140&gt;NoEchMaxi),IF(DiffTotal,-M140,0),IF(H140&gt;=NoEchRemb,L140,IF(S140-(M140*EchFIXE)&gt;L140-2,L140,S140-(M140*EchFIXE))))+C140</x:f>
      </x:c>
      <x:c r="O140" s="332">
        <x:f>IF(OR(L140=0,H140&gt;NoEchMaxi),0,ROUND(FraisF+FraisV*L140,NbDeci))+F140</x:f>
      </x:c>
      <x:c r="P140" s="342">
        <x:f>SUM(M140:O140)</x:f>
      </x:c>
      <x:c r="Q140" s="0"/>
      <x:c r="R140" s="71">
        <x:f>IF(B140&gt;0,IF(TauxActuariel,((B140+1)^(1/NbEchAn))-1,B140/NbEchAn),R139)</x:f>
      </x:c>
      <x:c r="S140" s="70">
        <x:f>IF(E140&gt;0,E140,IF(D140&gt;0,IF(AND(EchFIXE,R140&gt;0),ROUND((L140-C140)*R140/(1-((1+R140)^-D140)),NbDeci),ROUND(L140/D140,NbDeci)),S139))</x:f>
      </x:c>
    </x:row>
    <x:row r="141" spans="1:31" x14ac:dyDescent="0.2">
      <x:c r="B141" s="334"/>
      <x:c r="C141" s="335"/>
      <x:c r="D141" s="336"/>
      <x:c r="E141" s="337"/>
      <x:c r="F141" s="338"/>
      <x:c r="H141" s="327">
        <x:f>IF(L141=0,"",H140+1)</x:f>
      </x:c>
      <x:c r="I141" s="328">
        <x:f>IF(L141&gt;0,NbEch+Différé+1-H141,"")</x:f>
      </x:c>
      <x:c r="J141" s="339">
        <x:f>IF(ISNUMBER(K141),YEAR(K141),"")</x:f>
      </x:c>
      <x:c r="K141" s="340">
        <x:f>IF(L141=0,"",IF(Ijour=0,MIN(DATE(YEAR(DebAmort),MONTH(DebAmort)+(H141-1)*Imois,Jour1),DATE(YEAR(DebAmort),MONTH(DebAmort)+1+(H141-1)*Imois,0)),DATE(YEAR(DebAmort),MONTH(DebAmort),Jour1+(H141-1)*Ijour)))</x:f>
      </x:c>
      <x:c r="L141" s="341">
        <x:f>L140-N140</x:f>
      </x:c>
      <x:c r="M141" s="331">
        <x:f>IF(H141&lt;=NoEchMaxi,ROUND(L141*R141,NbDeci),0)</x:f>
      </x:c>
      <x:c r="N141" s="330">
        <x:f>IF(OR(H141&lt;=Différé,H141&gt;NoEchMaxi),IF(DiffTotal,-M141,0),IF(H141&gt;=NoEchRemb,L141,IF(S141-(M141*EchFIXE)&gt;L141-2,L141,S141-(M141*EchFIXE))))+C141</x:f>
      </x:c>
      <x:c r="O141" s="332">
        <x:f>IF(OR(L141=0,H141&gt;NoEchMaxi),0,ROUND(FraisF+FraisV*L141,NbDeci))+F141</x:f>
      </x:c>
      <x:c r="P141" s="342">
        <x:f>SUM(M141:O141)</x:f>
      </x:c>
      <x:c r="Q141" s="0"/>
      <x:c r="R141" s="71">
        <x:f>IF(B141&gt;0,IF(TauxActuariel,((B141+1)^(1/NbEchAn))-1,B141/NbEchAn),R140)</x:f>
      </x:c>
      <x:c r="S141" s="70">
        <x:f>IF(E141&gt;0,E141,IF(D141&gt;0,IF(AND(EchFIXE,R141&gt;0),ROUND((L141-C141)*R141/(1-((1+R141)^-D141)),NbDeci),ROUND(L141/D141,NbDeci)),S140))</x:f>
      </x:c>
    </x:row>
    <x:row r="142" spans="1:31" x14ac:dyDescent="0.2">
      <x:c r="B142" s="334"/>
      <x:c r="C142" s="335"/>
      <x:c r="D142" s="336"/>
      <x:c r="E142" s="337"/>
      <x:c r="F142" s="338"/>
      <x:c r="H142" s="327">
        <x:f>IF(L142=0,"",H141+1)</x:f>
      </x:c>
      <x:c r="I142" s="328">
        <x:f>IF(L142&gt;0,NbEch+Différé+1-H142,"")</x:f>
      </x:c>
      <x:c r="J142" s="339">
        <x:f>IF(ISNUMBER(K142),YEAR(K142),"")</x:f>
      </x:c>
      <x:c r="K142" s="340">
        <x:f>IF(L142=0,"",IF(Ijour=0,MIN(DATE(YEAR(DebAmort),MONTH(DebAmort)+MoisD+(H142-1)*Imois,Jour2),DATE(YEAR(DebAmort),MONTH(DebAmort)+MoisD+1+(H142-1)*Imois,0)),DATE(YEAR(DebAmort),MONTH(DebAmort),Jour1+(H142-1)*Ijour)))</x:f>
      </x:c>
      <x:c r="L142" s="341">
        <x:f>L141-N141</x:f>
      </x:c>
      <x:c r="M142" s="331">
        <x:f>IF(H142&lt;=NoEchMaxi,ROUND(L142*R142,NbDeci),0)</x:f>
      </x:c>
      <x:c r="N142" s="330">
        <x:f>IF(OR(H142&lt;=Différé,H142&gt;NoEchMaxi),IF(DiffTotal,-M142,0),IF(H142&gt;=NoEchRemb,L142,IF(S142-(M142*EchFIXE)&gt;L142-2,L142,S142-(M142*EchFIXE))))+C142</x:f>
      </x:c>
      <x:c r="O142" s="332">
        <x:f>IF(OR(L142=0,H142&gt;NoEchMaxi),0,ROUND(FraisF+FraisV*L142,NbDeci))+F142</x:f>
      </x:c>
      <x:c r="P142" s="342">
        <x:f>SUM(M142:O142)</x:f>
      </x:c>
      <x:c r="Q142" s="0"/>
      <x:c r="R142" s="71">
        <x:f>IF(B142&gt;0,IF(TauxActuariel,((B142+1)^(1/NbEchAn))-1,B142/NbEchAn),R141)</x:f>
      </x:c>
      <x:c r="S142" s="70">
        <x:f>IF(E142&gt;0,E142,IF(D142&gt;0,IF(AND(EchFIXE,R142&gt;0),ROUND((L142-C142)*R142/(1-((1+R142)^-D142)),NbDeci),ROUND(L142/D142,NbDeci)),S141))</x:f>
      </x:c>
    </x:row>
    <x:row r="143" spans="1:31" x14ac:dyDescent="0.2">
      <x:c r="B143" s="334"/>
      <x:c r="C143" s="335"/>
      <x:c r="D143" s="336"/>
      <x:c r="E143" s="337"/>
      <x:c r="F143" s="338"/>
      <x:c r="H143" s="327">
        <x:f>IF(L143=0,"",H142+1)</x:f>
      </x:c>
      <x:c r="I143" s="328">
        <x:f>IF(L143&gt;0,NbEch+Différé+1-H143,"")</x:f>
      </x:c>
      <x:c r="J143" s="339">
        <x:f>IF(ISNUMBER(K143),YEAR(K143),"")</x:f>
      </x:c>
      <x:c r="K143" s="340">
        <x:f>IF(L143=0,"",IF(Ijour=0,MIN(DATE(YEAR(DebAmort),MONTH(DebAmort)+(H143-1)*Imois,Jour1),DATE(YEAR(DebAmort),MONTH(DebAmort)+1+(H143-1)*Imois,0)),DATE(YEAR(DebAmort),MONTH(DebAmort),Jour1+(H143-1)*Ijour)))</x:f>
      </x:c>
      <x:c r="L143" s="341">
        <x:f>L142-N142</x:f>
      </x:c>
      <x:c r="M143" s="331">
        <x:f>IF(H143&lt;=NoEchMaxi,ROUND(L143*R143,NbDeci),0)</x:f>
      </x:c>
      <x:c r="N143" s="330">
        <x:f>IF(OR(H143&lt;=Différé,H143&gt;NoEchMaxi),IF(DiffTotal,-M143,0),IF(H143&gt;=NoEchRemb,L143,IF(S143-(M143*EchFIXE)&gt;L143-2,L143,S143-(M143*EchFIXE))))+C143</x:f>
      </x:c>
      <x:c r="O143" s="332">
        <x:f>IF(OR(L143=0,H143&gt;NoEchMaxi),0,ROUND(FraisF+FraisV*L143,NbDeci))+F143</x:f>
      </x:c>
      <x:c r="P143" s="342">
        <x:f>SUM(M143:O143)</x:f>
      </x:c>
      <x:c r="Q143" s="0"/>
      <x:c r="R143" s="71">
        <x:f>IF(B143&gt;0,IF(TauxActuariel,((B143+1)^(1/NbEchAn))-1,B143/NbEchAn),R142)</x:f>
      </x:c>
      <x:c r="S143" s="70">
        <x:f>IF(E143&gt;0,E143,IF(D143&gt;0,IF(AND(EchFIXE,R143&gt;0),ROUND((L143-C143)*R143/(1-((1+R143)^-D143)),NbDeci),ROUND(L143/D143,NbDeci)),S142))</x:f>
      </x:c>
    </x:row>
    <x:row r="144" spans="1:31" x14ac:dyDescent="0.2">
      <x:c r="B144" s="334"/>
      <x:c r="C144" s="335"/>
      <x:c r="D144" s="336"/>
      <x:c r="E144" s="337"/>
      <x:c r="F144" s="338"/>
      <x:c r="H144" s="327">
        <x:f>IF(L144=0,"",H143+1)</x:f>
      </x:c>
      <x:c r="I144" s="328">
        <x:f>IF(L144&gt;0,NbEch+Différé+1-H144,"")</x:f>
      </x:c>
      <x:c r="J144" s="339">
        <x:f>IF(ISNUMBER(K144),YEAR(K144),"")</x:f>
      </x:c>
      <x:c r="K144" s="340">
        <x:f>IF(L144=0,"",IF(Ijour=0,MIN(DATE(YEAR(DebAmort),MONTH(DebAmort)+MoisD+(H144-1)*Imois,Jour2),DATE(YEAR(DebAmort),MONTH(DebAmort)+MoisD+1+(H144-1)*Imois,0)),DATE(YEAR(DebAmort),MONTH(DebAmort),Jour1+(H144-1)*Ijour)))</x:f>
      </x:c>
      <x:c r="L144" s="341">
        <x:f>L143-N143</x:f>
      </x:c>
      <x:c r="M144" s="331">
        <x:f>IF(H144&lt;=NoEchMaxi,ROUND(L144*R144,NbDeci),0)</x:f>
      </x:c>
      <x:c r="N144" s="330">
        <x:f>IF(OR(H144&lt;=Différé,H144&gt;NoEchMaxi),IF(DiffTotal,-M144,0),IF(H144&gt;=NoEchRemb,L144,IF(S144-(M144*EchFIXE)&gt;L144-2,L144,S144-(M144*EchFIXE))))+C144</x:f>
      </x:c>
      <x:c r="O144" s="332">
        <x:f>IF(OR(L144=0,H144&gt;NoEchMaxi),0,ROUND(FraisF+FraisV*L144,NbDeci))+F144</x:f>
      </x:c>
      <x:c r="P144" s="342">
        <x:f>SUM(M144:O144)</x:f>
      </x:c>
      <x:c r="Q144" s="0"/>
      <x:c r="R144" s="71">
        <x:f>IF(B144&gt;0,IF(TauxActuariel,((B144+1)^(1/NbEchAn))-1,B144/NbEchAn),R143)</x:f>
      </x:c>
      <x:c r="S144" s="70">
        <x:f>IF(E144&gt;0,E144,IF(D144&gt;0,IF(AND(EchFIXE,R144&gt;0),ROUND((L144-C144)*R144/(1-((1+R144)^-D144)),NbDeci),ROUND(L144/D144,NbDeci)),S143))</x:f>
      </x:c>
    </x:row>
    <x:row r="145" spans="1:31" x14ac:dyDescent="0.2">
      <x:c r="B145" s="334"/>
      <x:c r="C145" s="335"/>
      <x:c r="D145" s="336"/>
      <x:c r="E145" s="337"/>
      <x:c r="F145" s="338"/>
      <x:c r="H145" s="327">
        <x:f>IF(L145=0,"",H144+1)</x:f>
      </x:c>
      <x:c r="I145" s="328">
        <x:f>IF(L145&gt;0,NbEch+Différé+1-H145,"")</x:f>
      </x:c>
      <x:c r="J145" s="339">
        <x:f>IF(ISNUMBER(K145),YEAR(K145),"")</x:f>
      </x:c>
      <x:c r="K145" s="340">
        <x:f>IF(L145=0,"",IF(Ijour=0,MIN(DATE(YEAR(DebAmort),MONTH(DebAmort)+(H145-1)*Imois,Jour1),DATE(YEAR(DebAmort),MONTH(DebAmort)+1+(H145-1)*Imois,0)),DATE(YEAR(DebAmort),MONTH(DebAmort),Jour1+(H145-1)*Ijour)))</x:f>
      </x:c>
      <x:c r="L145" s="341">
        <x:f>L144-N144</x:f>
      </x:c>
      <x:c r="M145" s="331">
        <x:f>IF(H145&lt;=NoEchMaxi,ROUND(L145*R145,NbDeci),0)</x:f>
      </x:c>
      <x:c r="N145" s="330">
        <x:f>IF(OR(H145&lt;=Différé,H145&gt;NoEchMaxi),IF(DiffTotal,-M145,0),IF(H145&gt;=NoEchRemb,L145,IF(S145-(M145*EchFIXE)&gt;L145-2,L145,S145-(M145*EchFIXE))))+C145</x:f>
      </x:c>
      <x:c r="O145" s="332">
        <x:f>IF(OR(L145=0,H145&gt;NoEchMaxi),0,ROUND(FraisF+FraisV*L145,NbDeci))+F145</x:f>
      </x:c>
      <x:c r="P145" s="342">
        <x:f>SUM(M145:O145)</x:f>
      </x:c>
      <x:c r="Q145" s="0"/>
      <x:c r="R145" s="71">
        <x:f>IF(B145&gt;0,IF(TauxActuariel,((B145+1)^(1/NbEchAn))-1,B145/NbEchAn),R144)</x:f>
      </x:c>
      <x:c r="S145" s="70">
        <x:f>IF(E145&gt;0,E145,IF(D145&gt;0,IF(AND(EchFIXE,R145&gt;0),ROUND((L145-C145)*R145/(1-((1+R145)^-D145)),NbDeci),ROUND(L145/D145,NbDeci)),S144))</x:f>
      </x:c>
    </x:row>
    <x:row r="146" spans="1:31" x14ac:dyDescent="0.2">
      <x:c r="B146" s="334"/>
      <x:c r="C146" s="335"/>
      <x:c r="D146" s="336"/>
      <x:c r="E146" s="337"/>
      <x:c r="F146" s="338"/>
      <x:c r="H146" s="327">
        <x:f>IF(L146=0,"",H145+1)</x:f>
      </x:c>
      <x:c r="I146" s="328">
        <x:f>IF(L146&gt;0,NbEch+Différé+1-H146,"")</x:f>
      </x:c>
      <x:c r="J146" s="339">
        <x:f>IF(ISNUMBER(K146),YEAR(K146),"")</x:f>
      </x:c>
      <x:c r="K146" s="340">
        <x:f>IF(L146=0,"",IF(Ijour=0,MIN(DATE(YEAR(DebAmort),MONTH(DebAmort)+MoisD+(H146-1)*Imois,Jour2),DATE(YEAR(DebAmort),MONTH(DebAmort)+MoisD+1+(H146-1)*Imois,0)),DATE(YEAR(DebAmort),MONTH(DebAmort),Jour1+(H146-1)*Ijour)))</x:f>
      </x:c>
      <x:c r="L146" s="341">
        <x:f>L145-N145</x:f>
      </x:c>
      <x:c r="M146" s="331">
        <x:f>IF(H146&lt;=NoEchMaxi,ROUND(L146*R146,NbDeci),0)</x:f>
      </x:c>
      <x:c r="N146" s="330">
        <x:f>IF(OR(H146&lt;=Différé,H146&gt;NoEchMaxi),IF(DiffTotal,-M146,0),IF(H146&gt;=NoEchRemb,L146,IF(S146-(M146*EchFIXE)&gt;L146-2,L146,S146-(M146*EchFIXE))))+C146</x:f>
      </x:c>
      <x:c r="O146" s="332">
        <x:f>IF(OR(L146=0,H146&gt;NoEchMaxi),0,ROUND(FraisF+FraisV*L146,NbDeci))+F146</x:f>
      </x:c>
      <x:c r="P146" s="342">
        <x:f>SUM(M146:O146)</x:f>
      </x:c>
      <x:c r="Q146" s="0"/>
      <x:c r="R146" s="71">
        <x:f>IF(B146&gt;0,IF(TauxActuariel,((B146+1)^(1/NbEchAn))-1,B146/NbEchAn),R145)</x:f>
      </x:c>
      <x:c r="S146" s="70">
        <x:f>IF(E146&gt;0,E146,IF(D146&gt;0,IF(AND(EchFIXE,R146&gt;0),ROUND((L146-C146)*R146/(1-((1+R146)^-D146)),NbDeci),ROUND(L146/D146,NbDeci)),S145))</x:f>
      </x:c>
    </x:row>
    <x:row r="147" spans="1:31" x14ac:dyDescent="0.2">
      <x:c r="B147" s="334"/>
      <x:c r="C147" s="335"/>
      <x:c r="D147" s="336"/>
      <x:c r="E147" s="337"/>
      <x:c r="F147" s="338"/>
      <x:c r="H147" s="327">
        <x:f>IF(L147=0,"",H146+1)</x:f>
      </x:c>
      <x:c r="I147" s="328">
        <x:f>IF(L147&gt;0,NbEch+Différé+1-H147,"")</x:f>
      </x:c>
      <x:c r="J147" s="339">
        <x:f>IF(ISNUMBER(K147),YEAR(K147),"")</x:f>
      </x:c>
      <x:c r="K147" s="340">
        <x:f>IF(L147=0,"",IF(Ijour=0,MIN(DATE(YEAR(DebAmort),MONTH(DebAmort)+(H147-1)*Imois,Jour1),DATE(YEAR(DebAmort),MONTH(DebAmort)+1+(H147-1)*Imois,0)),DATE(YEAR(DebAmort),MONTH(DebAmort),Jour1+(H147-1)*Ijour)))</x:f>
      </x:c>
      <x:c r="L147" s="341">
        <x:f>L146-N146</x:f>
      </x:c>
      <x:c r="M147" s="331">
        <x:f>IF(H147&lt;=NoEchMaxi,ROUND(L147*R147,NbDeci),0)</x:f>
      </x:c>
      <x:c r="N147" s="330">
        <x:f>IF(OR(H147&lt;=Différé,H147&gt;NoEchMaxi),IF(DiffTotal,-M147,0),IF(H147&gt;=NoEchRemb,L147,IF(S147-(M147*EchFIXE)&gt;L147-2,L147,S147-(M147*EchFIXE))))+C147</x:f>
      </x:c>
      <x:c r="O147" s="332">
        <x:f>IF(OR(L147=0,H147&gt;NoEchMaxi),0,ROUND(FraisF+FraisV*L147,NbDeci))+F147</x:f>
      </x:c>
      <x:c r="P147" s="342">
        <x:f>SUM(M147:O147)</x:f>
      </x:c>
      <x:c r="Q147" s="0"/>
      <x:c r="R147" s="71">
        <x:f>IF(B147&gt;0,IF(TauxActuariel,((B147+1)^(1/NbEchAn))-1,B147/NbEchAn),R146)</x:f>
      </x:c>
      <x:c r="S147" s="70">
        <x:f>IF(E147&gt;0,E147,IF(D147&gt;0,IF(AND(EchFIXE,R147&gt;0),ROUND((L147-C147)*R147/(1-((1+R147)^-D147)),NbDeci),ROUND(L147/D147,NbDeci)),S146))</x:f>
      </x:c>
    </x:row>
    <x:row r="148" spans="1:31" x14ac:dyDescent="0.2">
      <x:c r="B148" s="334"/>
      <x:c r="C148" s="335"/>
      <x:c r="D148" s="336"/>
      <x:c r="E148" s="337"/>
      <x:c r="F148" s="338"/>
      <x:c r="H148" s="327">
        <x:f>IF(L148=0,"",H147+1)</x:f>
      </x:c>
      <x:c r="I148" s="328">
        <x:f>IF(L148&gt;0,NbEch+Différé+1-H148,"")</x:f>
      </x:c>
      <x:c r="J148" s="339">
        <x:f>IF(ISNUMBER(K148),YEAR(K148),"")</x:f>
      </x:c>
      <x:c r="K148" s="340">
        <x:f>IF(L148=0,"",IF(Ijour=0,MIN(DATE(YEAR(DebAmort),MONTH(DebAmort)+MoisD+(H148-1)*Imois,Jour2),DATE(YEAR(DebAmort),MONTH(DebAmort)+MoisD+1+(H148-1)*Imois,0)),DATE(YEAR(DebAmort),MONTH(DebAmort),Jour1+(H148-1)*Ijour)))</x:f>
      </x:c>
      <x:c r="L148" s="341">
        <x:f>L147-N147</x:f>
      </x:c>
      <x:c r="M148" s="331">
        <x:f>IF(H148&lt;=NoEchMaxi,ROUND(L148*R148,NbDeci),0)</x:f>
      </x:c>
      <x:c r="N148" s="330">
        <x:f>IF(OR(H148&lt;=Différé,H148&gt;NoEchMaxi),IF(DiffTotal,-M148,0),IF(H148&gt;=NoEchRemb,L148,IF(S148-(M148*EchFIXE)&gt;L148-2,L148,S148-(M148*EchFIXE))))+C148</x:f>
      </x:c>
      <x:c r="O148" s="332">
        <x:f>IF(OR(L148=0,H148&gt;NoEchMaxi),0,ROUND(FraisF+FraisV*L148,NbDeci))+F148</x:f>
      </x:c>
      <x:c r="P148" s="342">
        <x:f>SUM(M148:O148)</x:f>
      </x:c>
      <x:c r="Q148" s="0"/>
      <x:c r="R148" s="71">
        <x:f>IF(B148&gt;0,IF(TauxActuariel,((B148+1)^(1/NbEchAn))-1,B148/NbEchAn),R147)</x:f>
      </x:c>
      <x:c r="S148" s="70">
        <x:f>IF(E148&gt;0,E148,IF(D148&gt;0,IF(AND(EchFIXE,R148&gt;0),ROUND((L148-C148)*R148/(1-((1+R148)^-D148)),NbDeci),ROUND(L148/D148,NbDeci)),S147))</x:f>
      </x:c>
    </x:row>
    <x:row r="149" spans="1:31" x14ac:dyDescent="0.2">
      <x:c r="B149" s="334"/>
      <x:c r="C149" s="335"/>
      <x:c r="D149" s="336"/>
      <x:c r="E149" s="337"/>
      <x:c r="F149" s="338"/>
      <x:c r="H149" s="327">
        <x:f>IF(L149=0,"",H148+1)</x:f>
      </x:c>
      <x:c r="I149" s="328">
        <x:f>IF(L149&gt;0,NbEch+Différé+1-H149,"")</x:f>
      </x:c>
      <x:c r="J149" s="339">
        <x:f>IF(ISNUMBER(K149),YEAR(K149),"")</x:f>
      </x:c>
      <x:c r="K149" s="340">
        <x:f>IF(L149=0,"",IF(Ijour=0,MIN(DATE(YEAR(DebAmort),MONTH(DebAmort)+(H149-1)*Imois,Jour1),DATE(YEAR(DebAmort),MONTH(DebAmort)+1+(H149-1)*Imois,0)),DATE(YEAR(DebAmort),MONTH(DebAmort),Jour1+(H149-1)*Ijour)))</x:f>
      </x:c>
      <x:c r="L149" s="341">
        <x:f>L148-N148</x:f>
      </x:c>
      <x:c r="M149" s="331">
        <x:f>IF(H149&lt;=NoEchMaxi,ROUND(L149*R149,NbDeci),0)</x:f>
      </x:c>
      <x:c r="N149" s="330">
        <x:f>IF(OR(H149&lt;=Différé,H149&gt;NoEchMaxi),IF(DiffTotal,-M149,0),IF(H149&gt;=NoEchRemb,L149,IF(S149-(M149*EchFIXE)&gt;L149-2,L149,S149-(M149*EchFIXE))))+C149</x:f>
      </x:c>
      <x:c r="O149" s="332">
        <x:f>IF(OR(L149=0,H149&gt;NoEchMaxi),0,ROUND(FraisF+FraisV*L149,NbDeci))+F149</x:f>
      </x:c>
      <x:c r="P149" s="342">
        <x:f>SUM(M149:O149)</x:f>
      </x:c>
      <x:c r="Q149" s="0"/>
      <x:c r="R149" s="71">
        <x:f>IF(B149&gt;0,IF(TauxActuariel,((B149+1)^(1/NbEchAn))-1,B149/NbEchAn),R148)</x:f>
      </x:c>
      <x:c r="S149" s="70">
        <x:f>IF(E149&gt;0,E149,IF(D149&gt;0,IF(AND(EchFIXE,R149&gt;0),ROUND((L149-C149)*R149/(1-((1+R149)^-D149)),NbDeci),ROUND(L149/D149,NbDeci)),S148))</x:f>
      </x:c>
    </x:row>
    <x:row r="150" spans="1:31" x14ac:dyDescent="0.2">
      <x:c r="B150" s="334"/>
      <x:c r="C150" s="335"/>
      <x:c r="D150" s="336"/>
      <x:c r="E150" s="337"/>
      <x:c r="F150" s="338"/>
      <x:c r="H150" s="327">
        <x:f>IF(L150=0,"",H149+1)</x:f>
      </x:c>
      <x:c r="I150" s="328">
        <x:f>IF(L150&gt;0,NbEch+Différé+1-H150,"")</x:f>
      </x:c>
      <x:c r="J150" s="339">
        <x:f>IF(ISNUMBER(K150),YEAR(K150),"")</x:f>
      </x:c>
      <x:c r="K150" s="340">
        <x:f>IF(L150=0,"",IF(Ijour=0,MIN(DATE(YEAR(DebAmort),MONTH(DebAmort)+MoisD+(H150-1)*Imois,Jour2),DATE(YEAR(DebAmort),MONTH(DebAmort)+MoisD+1+(H150-1)*Imois,0)),DATE(YEAR(DebAmort),MONTH(DebAmort),Jour1+(H150-1)*Ijour)))</x:f>
      </x:c>
      <x:c r="L150" s="341">
        <x:f>L149-N149</x:f>
      </x:c>
      <x:c r="M150" s="331">
        <x:f>IF(H150&lt;=NoEchMaxi,ROUND(L150*R150,NbDeci),0)</x:f>
      </x:c>
      <x:c r="N150" s="330">
        <x:f>IF(OR(H150&lt;=Différé,H150&gt;NoEchMaxi),IF(DiffTotal,-M150,0),IF(H150&gt;=NoEchRemb,L150,IF(S150-(M150*EchFIXE)&gt;L150-2,L150,S150-(M150*EchFIXE))))+C150</x:f>
      </x:c>
      <x:c r="O150" s="332">
        <x:f>IF(OR(L150=0,H150&gt;NoEchMaxi),0,ROUND(FraisF+FraisV*L150,NbDeci))+F150</x:f>
      </x:c>
      <x:c r="P150" s="342">
        <x:f>SUM(M150:O150)</x:f>
      </x:c>
      <x:c r="Q150" s="0"/>
      <x:c r="R150" s="71">
        <x:f>IF(B150&gt;0,IF(TauxActuariel,((B150+1)^(1/NbEchAn))-1,B150/NbEchAn),R149)</x:f>
      </x:c>
      <x:c r="S150" s="70">
        <x:f>IF(E150&gt;0,E150,IF(D150&gt;0,IF(AND(EchFIXE,R150&gt;0),ROUND((L150-C150)*R150/(1-((1+R150)^-D150)),NbDeci),ROUND(L150/D150,NbDeci)),S149))</x:f>
      </x:c>
    </x:row>
    <x:row r="151" spans="1:31" x14ac:dyDescent="0.2">
      <x:c r="B151" s="334"/>
      <x:c r="C151" s="335"/>
      <x:c r="D151" s="336"/>
      <x:c r="E151" s="337"/>
      <x:c r="F151" s="338"/>
      <x:c r="H151" s="327">
        <x:f>IF(L151=0,"",H150+1)</x:f>
      </x:c>
      <x:c r="I151" s="328">
        <x:f>IF(L151&gt;0,NbEch+Différé+1-H151,"")</x:f>
      </x:c>
      <x:c r="J151" s="339">
        <x:f>IF(ISNUMBER(K151),YEAR(K151),"")</x:f>
      </x:c>
      <x:c r="K151" s="340">
        <x:f>IF(L151=0,"",IF(Ijour=0,MIN(DATE(YEAR(DebAmort),MONTH(DebAmort)+(H151-1)*Imois,Jour1),DATE(YEAR(DebAmort),MONTH(DebAmort)+1+(H151-1)*Imois,0)),DATE(YEAR(DebAmort),MONTH(DebAmort),Jour1+(H151-1)*Ijour)))</x:f>
      </x:c>
      <x:c r="L151" s="341">
        <x:f>L150-N150</x:f>
      </x:c>
      <x:c r="M151" s="331">
        <x:f>IF(H151&lt;=NoEchMaxi,ROUND(L151*R151,NbDeci),0)</x:f>
      </x:c>
      <x:c r="N151" s="330">
        <x:f>IF(OR(H151&lt;=Différé,H151&gt;NoEchMaxi),IF(DiffTotal,-M151,0),IF(H151&gt;=NoEchRemb,L151,IF(S151-(M151*EchFIXE)&gt;L151-2,L151,S151-(M151*EchFIXE))))+C151</x:f>
      </x:c>
      <x:c r="O151" s="332">
        <x:f>IF(OR(L151=0,H151&gt;NoEchMaxi),0,ROUND(FraisF+FraisV*L151,NbDeci))+F151</x:f>
      </x:c>
      <x:c r="P151" s="342">
        <x:f>SUM(M151:O151)</x:f>
      </x:c>
      <x:c r="Q151" s="0"/>
      <x:c r="R151" s="71">
        <x:f>IF(B151&gt;0,IF(TauxActuariel,((B151+1)^(1/NbEchAn))-1,B151/NbEchAn),R150)</x:f>
      </x:c>
      <x:c r="S151" s="70">
        <x:f>IF(E151&gt;0,E151,IF(D151&gt;0,IF(AND(EchFIXE,R151&gt;0),ROUND((L151-C151)*R151/(1-((1+R151)^-D151)),NbDeci),ROUND(L151/D151,NbDeci)),S150))</x:f>
      </x:c>
    </x:row>
    <x:row r="152" spans="1:31" x14ac:dyDescent="0.2">
      <x:c r="B152" s="334"/>
      <x:c r="C152" s="335"/>
      <x:c r="D152" s="336"/>
      <x:c r="E152" s="337"/>
      <x:c r="F152" s="338"/>
      <x:c r="H152" s="327">
        <x:f>IF(L152=0,"",H151+1)</x:f>
      </x:c>
      <x:c r="I152" s="328">
        <x:f>IF(L152&gt;0,NbEch+Différé+1-H152,"")</x:f>
      </x:c>
      <x:c r="J152" s="339">
        <x:f>IF(ISNUMBER(K152),YEAR(K152),"")</x:f>
      </x:c>
      <x:c r="K152" s="340">
        <x:f>IF(L152=0,"",IF(Ijour=0,MIN(DATE(YEAR(DebAmort),MONTH(DebAmort)+MoisD+(H152-1)*Imois,Jour2),DATE(YEAR(DebAmort),MONTH(DebAmort)+MoisD+1+(H152-1)*Imois,0)),DATE(YEAR(DebAmort),MONTH(DebAmort),Jour1+(H152-1)*Ijour)))</x:f>
      </x:c>
      <x:c r="L152" s="341">
        <x:f>L151-N151</x:f>
      </x:c>
      <x:c r="M152" s="331">
        <x:f>IF(H152&lt;=NoEchMaxi,ROUND(L152*R152,NbDeci),0)</x:f>
      </x:c>
      <x:c r="N152" s="330">
        <x:f>IF(OR(H152&lt;=Différé,H152&gt;NoEchMaxi),IF(DiffTotal,-M152,0),IF(H152&gt;=NoEchRemb,L152,IF(S152-(M152*EchFIXE)&gt;L152-2,L152,S152-(M152*EchFIXE))))+C152</x:f>
      </x:c>
      <x:c r="O152" s="332">
        <x:f>IF(OR(L152=0,H152&gt;NoEchMaxi),0,ROUND(FraisF+FraisV*L152,NbDeci))+F152</x:f>
      </x:c>
      <x:c r="P152" s="342">
        <x:f>SUM(M152:O152)</x:f>
      </x:c>
      <x:c r="Q152" s="0"/>
      <x:c r="R152" s="71">
        <x:f>IF(B152&gt;0,IF(TauxActuariel,((B152+1)^(1/NbEchAn))-1,B152/NbEchAn),R151)</x:f>
      </x:c>
      <x:c r="S152" s="70">
        <x:f>IF(E152&gt;0,E152,IF(D152&gt;0,IF(AND(EchFIXE,R152&gt;0),ROUND((L152-C152)*R152/(1-((1+R152)^-D152)),NbDeci),ROUND(L152/D152,NbDeci)),S151))</x:f>
      </x:c>
    </x:row>
    <x:row r="153" spans="1:31" x14ac:dyDescent="0.2">
      <x:c r="B153" s="334"/>
      <x:c r="C153" s="335"/>
      <x:c r="D153" s="336"/>
      <x:c r="E153" s="337"/>
      <x:c r="F153" s="338"/>
      <x:c r="H153" s="327">
        <x:f>IF(L153=0,"",H152+1)</x:f>
      </x:c>
      <x:c r="I153" s="328">
        <x:f>IF(L153&gt;0,NbEch+Différé+1-H153,"")</x:f>
      </x:c>
      <x:c r="J153" s="339">
        <x:f>IF(ISNUMBER(K153),YEAR(K153),"")</x:f>
      </x:c>
      <x:c r="K153" s="340">
        <x:f>IF(L153=0,"",IF(Ijour=0,MIN(DATE(YEAR(DebAmort),MONTH(DebAmort)+(H153-1)*Imois,Jour1),DATE(YEAR(DebAmort),MONTH(DebAmort)+1+(H153-1)*Imois,0)),DATE(YEAR(DebAmort),MONTH(DebAmort),Jour1+(H153-1)*Ijour)))</x:f>
      </x:c>
      <x:c r="L153" s="341">
        <x:f>L152-N152</x:f>
      </x:c>
      <x:c r="M153" s="331">
        <x:f>IF(H153&lt;=NoEchMaxi,ROUND(L153*R153,NbDeci),0)</x:f>
      </x:c>
      <x:c r="N153" s="330">
        <x:f>IF(OR(H153&lt;=Différé,H153&gt;NoEchMaxi),IF(DiffTotal,-M153,0),IF(H153&gt;=NoEchRemb,L153,IF(S153-(M153*EchFIXE)&gt;L153-2,L153,S153-(M153*EchFIXE))))+C153</x:f>
      </x:c>
      <x:c r="O153" s="332">
        <x:f>IF(OR(L153=0,H153&gt;NoEchMaxi),0,ROUND(FraisF+FraisV*L153,NbDeci))+F153</x:f>
      </x:c>
      <x:c r="P153" s="342">
        <x:f>SUM(M153:O153)</x:f>
      </x:c>
      <x:c r="Q153" s="0"/>
      <x:c r="R153" s="71">
        <x:f>IF(B153&gt;0,IF(TauxActuariel,((B153+1)^(1/NbEchAn))-1,B153/NbEchAn),R152)</x:f>
      </x:c>
      <x:c r="S153" s="70">
        <x:f>IF(E153&gt;0,E153,IF(D153&gt;0,IF(AND(EchFIXE,R153&gt;0),ROUND((L153-C153)*R153/(1-((1+R153)^-D153)),NbDeci),ROUND(L153/D153,NbDeci)),S152))</x:f>
      </x:c>
    </x:row>
    <x:row r="154" spans="1:31" x14ac:dyDescent="0.2">
      <x:c r="B154" s="334"/>
      <x:c r="C154" s="335"/>
      <x:c r="D154" s="336"/>
      <x:c r="E154" s="337"/>
      <x:c r="F154" s="338"/>
      <x:c r="H154" s="327">
        <x:f>IF(L154=0,"",H153+1)</x:f>
      </x:c>
      <x:c r="I154" s="328">
        <x:f>IF(L154&gt;0,NbEch+Différé+1-H154,"")</x:f>
      </x:c>
      <x:c r="J154" s="339">
        <x:f>IF(ISNUMBER(K154),YEAR(K154),"")</x:f>
      </x:c>
      <x:c r="K154" s="340">
        <x:f>IF(L154=0,"",IF(Ijour=0,MIN(DATE(YEAR(DebAmort),MONTH(DebAmort)+MoisD+(H154-1)*Imois,Jour2),DATE(YEAR(DebAmort),MONTH(DebAmort)+MoisD+1+(H154-1)*Imois,0)),DATE(YEAR(DebAmort),MONTH(DebAmort),Jour1+(H154-1)*Ijour)))</x:f>
      </x:c>
      <x:c r="L154" s="341">
        <x:f>L153-N153</x:f>
      </x:c>
      <x:c r="M154" s="331">
        <x:f>IF(H154&lt;=NoEchMaxi,ROUND(L154*R154,NbDeci),0)</x:f>
      </x:c>
      <x:c r="N154" s="330">
        <x:f>IF(OR(H154&lt;=Différé,H154&gt;NoEchMaxi),IF(DiffTotal,-M154,0),IF(H154&gt;=NoEchRemb,L154,IF(S154-(M154*EchFIXE)&gt;L154-2,L154,S154-(M154*EchFIXE))))+C154</x:f>
      </x:c>
      <x:c r="O154" s="332">
        <x:f>IF(OR(L154=0,H154&gt;NoEchMaxi),0,ROUND(FraisF+FraisV*L154,NbDeci))+F154</x:f>
      </x:c>
      <x:c r="P154" s="342">
        <x:f>SUM(M154:O154)</x:f>
      </x:c>
      <x:c r="Q154" s="0"/>
      <x:c r="R154" s="71">
        <x:f>IF(B154&gt;0,IF(TauxActuariel,((B154+1)^(1/NbEchAn))-1,B154/NbEchAn),R153)</x:f>
      </x:c>
      <x:c r="S154" s="70">
        <x:f>IF(E154&gt;0,E154,IF(D154&gt;0,IF(AND(EchFIXE,R154&gt;0),ROUND((L154-C154)*R154/(1-((1+R154)^-D154)),NbDeci),ROUND(L154/D154,NbDeci)),S153))</x:f>
      </x:c>
    </x:row>
    <x:row r="155" spans="1:31" x14ac:dyDescent="0.2">
      <x:c r="B155" s="334"/>
      <x:c r="C155" s="335"/>
      <x:c r="D155" s="336"/>
      <x:c r="E155" s="337"/>
      <x:c r="F155" s="338"/>
      <x:c r="H155" s="327">
        <x:f>IF(L155=0,"",H154+1)</x:f>
      </x:c>
      <x:c r="I155" s="328">
        <x:f>IF(L155&gt;0,NbEch+Différé+1-H155,"")</x:f>
      </x:c>
      <x:c r="J155" s="339">
        <x:f>IF(ISNUMBER(K155),YEAR(K155),"")</x:f>
      </x:c>
      <x:c r="K155" s="340">
        <x:f>IF(L155=0,"",IF(Ijour=0,MIN(DATE(YEAR(DebAmort),MONTH(DebAmort)+(H155-1)*Imois,Jour1),DATE(YEAR(DebAmort),MONTH(DebAmort)+1+(H155-1)*Imois,0)),DATE(YEAR(DebAmort),MONTH(DebAmort),Jour1+(H155-1)*Ijour)))</x:f>
      </x:c>
      <x:c r="L155" s="341">
        <x:f>L154-N154</x:f>
      </x:c>
      <x:c r="M155" s="331">
        <x:f>IF(H155&lt;=NoEchMaxi,ROUND(L155*R155,NbDeci),0)</x:f>
      </x:c>
      <x:c r="N155" s="330">
        <x:f>IF(OR(H155&lt;=Différé,H155&gt;NoEchMaxi),IF(DiffTotal,-M155,0),IF(H155&gt;=NoEchRemb,L155,IF(S155-(M155*EchFIXE)&gt;L155-2,L155,S155-(M155*EchFIXE))))+C155</x:f>
      </x:c>
      <x:c r="O155" s="332">
        <x:f>IF(OR(L155=0,H155&gt;NoEchMaxi),0,ROUND(FraisF+FraisV*L155,NbDeci))+F155</x:f>
      </x:c>
      <x:c r="P155" s="342">
        <x:f>SUM(M155:O155)</x:f>
      </x:c>
      <x:c r="Q155" s="0"/>
      <x:c r="R155" s="71">
        <x:f>IF(B155&gt;0,IF(TauxActuariel,((B155+1)^(1/NbEchAn))-1,B155/NbEchAn),R154)</x:f>
      </x:c>
      <x:c r="S155" s="70">
        <x:f>IF(E155&gt;0,E155,IF(D155&gt;0,IF(AND(EchFIXE,R155&gt;0),ROUND((L155-C155)*R155/(1-((1+R155)^-D155)),NbDeci),ROUND(L155/D155,NbDeci)),S154))</x:f>
      </x:c>
    </x:row>
    <x:row r="156" spans="1:31" x14ac:dyDescent="0.2">
      <x:c r="B156" s="334"/>
      <x:c r="C156" s="335"/>
      <x:c r="D156" s="336"/>
      <x:c r="E156" s="337"/>
      <x:c r="F156" s="338"/>
      <x:c r="H156" s="327">
        <x:f>IF(L156=0,"",H155+1)</x:f>
      </x:c>
      <x:c r="I156" s="328">
        <x:f>IF(L156&gt;0,NbEch+Différé+1-H156,"")</x:f>
      </x:c>
      <x:c r="J156" s="339">
        <x:f>IF(ISNUMBER(K156),YEAR(K156),"")</x:f>
      </x:c>
      <x:c r="K156" s="340">
        <x:f>IF(L156=0,"",IF(Ijour=0,MIN(DATE(YEAR(DebAmort),MONTH(DebAmort)+MoisD+(H156-1)*Imois,Jour2),DATE(YEAR(DebAmort),MONTH(DebAmort)+MoisD+1+(H156-1)*Imois,0)),DATE(YEAR(DebAmort),MONTH(DebAmort),Jour1+(H156-1)*Ijour)))</x:f>
      </x:c>
      <x:c r="L156" s="341">
        <x:f>L155-N155</x:f>
      </x:c>
      <x:c r="M156" s="331">
        <x:f>IF(H156&lt;=NoEchMaxi,ROUND(L156*R156,NbDeci),0)</x:f>
      </x:c>
      <x:c r="N156" s="330">
        <x:f>IF(OR(H156&lt;=Différé,H156&gt;NoEchMaxi),IF(DiffTotal,-M156,0),IF(H156&gt;=NoEchRemb,L156,IF(S156-(M156*EchFIXE)&gt;L156-2,L156,S156-(M156*EchFIXE))))+C156</x:f>
      </x:c>
      <x:c r="O156" s="332">
        <x:f>IF(OR(L156=0,H156&gt;NoEchMaxi),0,ROUND(FraisF+FraisV*L156,NbDeci))+F156</x:f>
      </x:c>
      <x:c r="P156" s="342">
        <x:f>SUM(M156:O156)</x:f>
      </x:c>
      <x:c r="Q156" s="0"/>
      <x:c r="R156" s="71">
        <x:f>IF(B156&gt;0,IF(TauxActuariel,((B156+1)^(1/NbEchAn))-1,B156/NbEchAn),R155)</x:f>
      </x:c>
      <x:c r="S156" s="70">
        <x:f>IF(E156&gt;0,E156,IF(D156&gt;0,IF(AND(EchFIXE,R156&gt;0),ROUND((L156-C156)*R156/(1-((1+R156)^-D156)),NbDeci),ROUND(L156/D156,NbDeci)),S155))</x:f>
      </x:c>
    </x:row>
    <x:row r="157" spans="1:31" x14ac:dyDescent="0.2">
      <x:c r="B157" s="334"/>
      <x:c r="C157" s="335"/>
      <x:c r="D157" s="336"/>
      <x:c r="E157" s="337"/>
      <x:c r="F157" s="338"/>
      <x:c r="H157" s="327">
        <x:f>IF(L157=0,"",H156+1)</x:f>
      </x:c>
      <x:c r="I157" s="328">
        <x:f>IF(L157&gt;0,NbEch+Différé+1-H157,"")</x:f>
      </x:c>
      <x:c r="J157" s="339">
        <x:f>IF(ISNUMBER(K157),YEAR(K157),"")</x:f>
      </x:c>
      <x:c r="K157" s="340">
        <x:f>IF(L157=0,"",IF(Ijour=0,MIN(DATE(YEAR(DebAmort),MONTH(DebAmort)+(H157-1)*Imois,Jour1),DATE(YEAR(DebAmort),MONTH(DebAmort)+1+(H157-1)*Imois,0)),DATE(YEAR(DebAmort),MONTH(DebAmort),Jour1+(H157-1)*Ijour)))</x:f>
      </x:c>
      <x:c r="L157" s="341">
        <x:f>L156-N156</x:f>
      </x:c>
      <x:c r="M157" s="331">
        <x:f>IF(H157&lt;=NoEchMaxi,ROUND(L157*R157,NbDeci),0)</x:f>
      </x:c>
      <x:c r="N157" s="330">
        <x:f>IF(OR(H157&lt;=Différé,H157&gt;NoEchMaxi),IF(DiffTotal,-M157,0),IF(H157&gt;=NoEchRemb,L157,IF(S157-(M157*EchFIXE)&gt;L157-2,L157,S157-(M157*EchFIXE))))+C157</x:f>
      </x:c>
      <x:c r="O157" s="332">
        <x:f>IF(OR(L157=0,H157&gt;NoEchMaxi),0,ROUND(FraisF+FraisV*L157,NbDeci))+F157</x:f>
      </x:c>
      <x:c r="P157" s="342">
        <x:f>SUM(M157:O157)</x:f>
      </x:c>
      <x:c r="Q157" s="0"/>
      <x:c r="R157" s="71">
        <x:f>IF(B157&gt;0,IF(TauxActuariel,((B157+1)^(1/NbEchAn))-1,B157/NbEchAn),R156)</x:f>
      </x:c>
      <x:c r="S157" s="70">
        <x:f>IF(E157&gt;0,E157,IF(D157&gt;0,IF(AND(EchFIXE,R157&gt;0),ROUND((L157-C157)*R157/(1-((1+R157)^-D157)),NbDeci),ROUND(L157/D157,NbDeci)),S156))</x:f>
      </x:c>
    </x:row>
    <x:row r="158" spans="1:31" x14ac:dyDescent="0.2">
      <x:c r="B158" s="334"/>
      <x:c r="C158" s="335"/>
      <x:c r="D158" s="336"/>
      <x:c r="E158" s="337"/>
      <x:c r="F158" s="338"/>
      <x:c r="H158" s="327">
        <x:f>IF(L158=0,"",H157+1)</x:f>
      </x:c>
      <x:c r="I158" s="328">
        <x:f>IF(L158&gt;0,NbEch+Différé+1-H158,"")</x:f>
      </x:c>
      <x:c r="J158" s="339">
        <x:f>IF(ISNUMBER(K158),YEAR(K158),"")</x:f>
      </x:c>
      <x:c r="K158" s="340">
        <x:f>IF(L158=0,"",IF(Ijour=0,MIN(DATE(YEAR(DebAmort),MONTH(DebAmort)+MoisD+(H158-1)*Imois,Jour2),DATE(YEAR(DebAmort),MONTH(DebAmort)+MoisD+1+(H158-1)*Imois,0)),DATE(YEAR(DebAmort),MONTH(DebAmort),Jour1+(H158-1)*Ijour)))</x:f>
      </x:c>
      <x:c r="L158" s="341">
        <x:f>L157-N157</x:f>
      </x:c>
      <x:c r="M158" s="331">
        <x:f>IF(H158&lt;=NoEchMaxi,ROUND(L158*R158,NbDeci),0)</x:f>
      </x:c>
      <x:c r="N158" s="330">
        <x:f>IF(OR(H158&lt;=Différé,H158&gt;NoEchMaxi),IF(DiffTotal,-M158,0),IF(H158&gt;=NoEchRemb,L158,IF(S158-(M158*EchFIXE)&gt;L158-2,L158,S158-(M158*EchFIXE))))+C158</x:f>
      </x:c>
      <x:c r="O158" s="332">
        <x:f>IF(OR(L158=0,H158&gt;NoEchMaxi),0,ROUND(FraisF+FraisV*L158,NbDeci))+F158</x:f>
      </x:c>
      <x:c r="P158" s="342">
        <x:f>SUM(M158:O158)</x:f>
      </x:c>
      <x:c r="Q158" s="0"/>
      <x:c r="R158" s="71">
        <x:f>IF(B158&gt;0,IF(TauxActuariel,((B158+1)^(1/NbEchAn))-1,B158/NbEchAn),R157)</x:f>
      </x:c>
      <x:c r="S158" s="70">
        <x:f>IF(E158&gt;0,E158,IF(D158&gt;0,IF(AND(EchFIXE,R158&gt;0),ROUND((L158-C158)*R158/(1-((1+R158)^-D158)),NbDeci),ROUND(L158/D158,NbDeci)),S157))</x:f>
      </x:c>
    </x:row>
    <x:row r="159" spans="1:31" x14ac:dyDescent="0.2">
      <x:c r="B159" s="334"/>
      <x:c r="C159" s="335"/>
      <x:c r="D159" s="336"/>
      <x:c r="E159" s="337"/>
      <x:c r="F159" s="338"/>
      <x:c r="H159" s="327">
        <x:f>IF(L159=0,"",H158+1)</x:f>
      </x:c>
      <x:c r="I159" s="328">
        <x:f>IF(L159&gt;0,NbEch+Différé+1-H159,"")</x:f>
      </x:c>
      <x:c r="J159" s="339">
        <x:f>IF(ISNUMBER(K159),YEAR(K159),"")</x:f>
      </x:c>
      <x:c r="K159" s="340">
        <x:f>IF(L159=0,"",IF(Ijour=0,MIN(DATE(YEAR(DebAmort),MONTH(DebAmort)+(H159-1)*Imois,Jour1),DATE(YEAR(DebAmort),MONTH(DebAmort)+1+(H159-1)*Imois,0)),DATE(YEAR(DebAmort),MONTH(DebAmort),Jour1+(H159-1)*Ijour)))</x:f>
      </x:c>
      <x:c r="L159" s="341">
        <x:f>L158-N158</x:f>
      </x:c>
      <x:c r="M159" s="331">
        <x:f>IF(H159&lt;=NoEchMaxi,ROUND(L159*R159,NbDeci),0)</x:f>
      </x:c>
      <x:c r="N159" s="330">
        <x:f>IF(OR(H159&lt;=Différé,H159&gt;NoEchMaxi),IF(DiffTotal,-M159,0),IF(H159&gt;=NoEchRemb,L159,IF(S159-(M159*EchFIXE)&gt;L159-2,L159,S159-(M159*EchFIXE))))+C159</x:f>
      </x:c>
      <x:c r="O159" s="332">
        <x:f>IF(OR(L159=0,H159&gt;NoEchMaxi),0,ROUND(FraisF+FraisV*L159,NbDeci))+F159</x:f>
      </x:c>
      <x:c r="P159" s="342">
        <x:f>SUM(M159:O159)</x:f>
      </x:c>
      <x:c r="Q159" s="0"/>
      <x:c r="R159" s="71">
        <x:f>IF(B159&gt;0,IF(TauxActuariel,((B159+1)^(1/NbEchAn))-1,B159/NbEchAn),R158)</x:f>
      </x:c>
      <x:c r="S159" s="70">
        <x:f>IF(E159&gt;0,E159,IF(D159&gt;0,IF(AND(EchFIXE,R159&gt;0),ROUND((L159-C159)*R159/(1-((1+R159)^-D159)),NbDeci),ROUND(L159/D159,NbDeci)),S158))</x:f>
      </x:c>
    </x:row>
    <x:row r="160" spans="1:31" x14ac:dyDescent="0.2">
      <x:c r="B160" s="334"/>
      <x:c r="C160" s="335"/>
      <x:c r="D160" s="336"/>
      <x:c r="E160" s="337"/>
      <x:c r="F160" s="338"/>
      <x:c r="H160" s="327">
        <x:f>IF(L160=0,"",H159+1)</x:f>
      </x:c>
      <x:c r="I160" s="328">
        <x:f>IF(L160&gt;0,NbEch+Différé+1-H160,"")</x:f>
      </x:c>
      <x:c r="J160" s="339">
        <x:f>IF(ISNUMBER(K160),YEAR(K160),"")</x:f>
      </x:c>
      <x:c r="K160" s="340">
        <x:f>IF(L160=0,"",IF(Ijour=0,MIN(DATE(YEAR(DebAmort),MONTH(DebAmort)+MoisD+(H160-1)*Imois,Jour2),DATE(YEAR(DebAmort),MONTH(DebAmort)+MoisD+1+(H160-1)*Imois,0)),DATE(YEAR(DebAmort),MONTH(DebAmort),Jour1+(H160-1)*Ijour)))</x:f>
      </x:c>
      <x:c r="L160" s="341">
        <x:f>L159-N159</x:f>
      </x:c>
      <x:c r="M160" s="331">
        <x:f>IF(H160&lt;=NoEchMaxi,ROUND(L160*R160,NbDeci),0)</x:f>
      </x:c>
      <x:c r="N160" s="330">
        <x:f>IF(OR(H160&lt;=Différé,H160&gt;NoEchMaxi),IF(DiffTotal,-M160,0),IF(H160&gt;=NoEchRemb,L160,IF(S160-(M160*EchFIXE)&gt;L160-2,L160,S160-(M160*EchFIXE))))+C160</x:f>
      </x:c>
      <x:c r="O160" s="332">
        <x:f>IF(OR(L160=0,H160&gt;NoEchMaxi),0,ROUND(FraisF+FraisV*L160,NbDeci))+F160</x:f>
      </x:c>
      <x:c r="P160" s="342">
        <x:f>SUM(M160:O160)</x:f>
      </x:c>
      <x:c r="Q160" s="0"/>
      <x:c r="R160" s="71">
        <x:f>IF(B160&gt;0,IF(TauxActuariel,((B160+1)^(1/NbEchAn))-1,B160/NbEchAn),R159)</x:f>
      </x:c>
      <x:c r="S160" s="70">
        <x:f>IF(E160&gt;0,E160,IF(D160&gt;0,IF(AND(EchFIXE,R160&gt;0),ROUND((L160-C160)*R160/(1-((1+R160)^-D160)),NbDeci),ROUND(L160/D160,NbDeci)),S159))</x:f>
      </x:c>
    </x:row>
    <x:row r="161" spans="1:31" x14ac:dyDescent="0.2">
      <x:c r="B161" s="334"/>
      <x:c r="C161" s="335"/>
      <x:c r="D161" s="336"/>
      <x:c r="E161" s="337"/>
      <x:c r="F161" s="338"/>
      <x:c r="H161" s="327">
        <x:f>IF(L161=0,"",H160+1)</x:f>
      </x:c>
      <x:c r="I161" s="328">
        <x:f>IF(L161&gt;0,NbEch+Différé+1-H161,"")</x:f>
      </x:c>
      <x:c r="J161" s="339">
        <x:f>IF(ISNUMBER(K161),YEAR(K161),"")</x:f>
      </x:c>
      <x:c r="K161" s="340">
        <x:f>IF(L161=0,"",IF(Ijour=0,MIN(DATE(YEAR(DebAmort),MONTH(DebAmort)+(H161-1)*Imois,Jour1),DATE(YEAR(DebAmort),MONTH(DebAmort)+1+(H161-1)*Imois,0)),DATE(YEAR(DebAmort),MONTH(DebAmort),Jour1+(H161-1)*Ijour)))</x:f>
      </x:c>
      <x:c r="L161" s="341">
        <x:f>L160-N160</x:f>
      </x:c>
      <x:c r="M161" s="331">
        <x:f>IF(H161&lt;=NoEchMaxi,ROUND(L161*R161,NbDeci),0)</x:f>
      </x:c>
      <x:c r="N161" s="330">
        <x:f>IF(OR(H161&lt;=Différé,H161&gt;NoEchMaxi),IF(DiffTotal,-M161,0),IF(H161&gt;=NoEchRemb,L161,IF(S161-(M161*EchFIXE)&gt;L161-2,L161,S161-(M161*EchFIXE))))+C161</x:f>
      </x:c>
      <x:c r="O161" s="332">
        <x:f>IF(OR(L161=0,H161&gt;NoEchMaxi),0,ROUND(FraisF+FraisV*L161,NbDeci))+F161</x:f>
      </x:c>
      <x:c r="P161" s="342">
        <x:f>SUM(M161:O161)</x:f>
      </x:c>
      <x:c r="Q161" s="0"/>
      <x:c r="R161" s="71">
        <x:f>IF(B161&gt;0,IF(TauxActuariel,((B161+1)^(1/NbEchAn))-1,B161/NbEchAn),R160)</x:f>
      </x:c>
      <x:c r="S161" s="70">
        <x:f>IF(E161&gt;0,E161,IF(D161&gt;0,IF(AND(EchFIXE,R161&gt;0),ROUND((L161-C161)*R161/(1-((1+R161)^-D161)),NbDeci),ROUND(L161/D161,NbDeci)),S160))</x:f>
      </x:c>
    </x:row>
    <x:row r="162" spans="1:31" x14ac:dyDescent="0.2">
      <x:c r="B162" s="334"/>
      <x:c r="C162" s="335"/>
      <x:c r="D162" s="336"/>
      <x:c r="E162" s="337"/>
      <x:c r="F162" s="338"/>
      <x:c r="H162" s="327">
        <x:f>IF(L162=0,"",H161+1)</x:f>
      </x:c>
      <x:c r="I162" s="328">
        <x:f>IF(L162&gt;0,NbEch+Différé+1-H162,"")</x:f>
      </x:c>
      <x:c r="J162" s="339">
        <x:f>IF(ISNUMBER(K162),YEAR(K162),"")</x:f>
      </x:c>
      <x:c r="K162" s="340">
        <x:f>IF(L162=0,"",IF(Ijour=0,MIN(DATE(YEAR(DebAmort),MONTH(DebAmort)+MoisD+(H162-1)*Imois,Jour2),DATE(YEAR(DebAmort),MONTH(DebAmort)+MoisD+1+(H162-1)*Imois,0)),DATE(YEAR(DebAmort),MONTH(DebAmort),Jour1+(H162-1)*Ijour)))</x:f>
      </x:c>
      <x:c r="L162" s="341">
        <x:f>L161-N161</x:f>
      </x:c>
      <x:c r="M162" s="331">
        <x:f>IF(H162&lt;=NoEchMaxi,ROUND(L162*R162,NbDeci),0)</x:f>
      </x:c>
      <x:c r="N162" s="330">
        <x:f>IF(OR(H162&lt;=Différé,H162&gt;NoEchMaxi),IF(DiffTotal,-M162,0),IF(H162&gt;=NoEchRemb,L162,IF(S162-(M162*EchFIXE)&gt;L162-2,L162,S162-(M162*EchFIXE))))+C162</x:f>
      </x:c>
      <x:c r="O162" s="332">
        <x:f>IF(OR(L162=0,H162&gt;NoEchMaxi),0,ROUND(FraisF+FraisV*L162,NbDeci))+F162</x:f>
      </x:c>
      <x:c r="P162" s="342">
        <x:f>SUM(M162:O162)</x:f>
      </x:c>
      <x:c r="Q162" s="0"/>
      <x:c r="R162" s="71">
        <x:f>IF(B162&gt;0,IF(TauxActuariel,((B162+1)^(1/NbEchAn))-1,B162/NbEchAn),R161)</x:f>
      </x:c>
      <x:c r="S162" s="70">
        <x:f>IF(E162&gt;0,E162,IF(D162&gt;0,IF(AND(EchFIXE,R162&gt;0),ROUND((L162-C162)*R162/(1-((1+R162)^-D162)),NbDeci),ROUND(L162/D162,NbDeci)),S161))</x:f>
      </x:c>
    </x:row>
    <x:row r="163" spans="1:31" x14ac:dyDescent="0.2">
      <x:c r="B163" s="334"/>
      <x:c r="C163" s="335"/>
      <x:c r="D163" s="336"/>
      <x:c r="E163" s="337"/>
      <x:c r="F163" s="338"/>
      <x:c r="H163" s="327">
        <x:f>IF(L163=0,"",H162+1)</x:f>
      </x:c>
      <x:c r="I163" s="328">
        <x:f>IF(L163&gt;0,NbEch+Différé+1-H163,"")</x:f>
      </x:c>
      <x:c r="J163" s="339">
        <x:f>IF(ISNUMBER(K163),YEAR(K163),"")</x:f>
      </x:c>
      <x:c r="K163" s="340">
        <x:f>IF(L163=0,"",IF(Ijour=0,MIN(DATE(YEAR(DebAmort),MONTH(DebAmort)+(H163-1)*Imois,Jour1),DATE(YEAR(DebAmort),MONTH(DebAmort)+1+(H163-1)*Imois,0)),DATE(YEAR(DebAmort),MONTH(DebAmort),Jour1+(H163-1)*Ijour)))</x:f>
      </x:c>
      <x:c r="L163" s="341">
        <x:f>L162-N162</x:f>
      </x:c>
      <x:c r="M163" s="331">
        <x:f>IF(H163&lt;=NoEchMaxi,ROUND(L163*R163,NbDeci),0)</x:f>
      </x:c>
      <x:c r="N163" s="330">
        <x:f>IF(OR(H163&lt;=Différé,H163&gt;NoEchMaxi),IF(DiffTotal,-M163,0),IF(H163&gt;=NoEchRemb,L163,IF(S163-(M163*EchFIXE)&gt;L163-2,L163,S163-(M163*EchFIXE))))+C163</x:f>
      </x:c>
      <x:c r="O163" s="332">
        <x:f>IF(OR(L163=0,H163&gt;NoEchMaxi),0,ROUND(FraisF+FraisV*L163,NbDeci))+F163</x:f>
      </x:c>
      <x:c r="P163" s="342">
        <x:f>SUM(M163:O163)</x:f>
      </x:c>
      <x:c r="Q163" s="0"/>
      <x:c r="R163" s="71">
        <x:f>IF(B163&gt;0,IF(TauxActuariel,((B163+1)^(1/NbEchAn))-1,B163/NbEchAn),R162)</x:f>
      </x:c>
      <x:c r="S163" s="70">
        <x:f>IF(E163&gt;0,E163,IF(D163&gt;0,IF(AND(EchFIXE,R163&gt;0),ROUND((L163-C163)*R163/(1-((1+R163)^-D163)),NbDeci),ROUND(L163/D163,NbDeci)),S162))</x:f>
      </x:c>
    </x:row>
    <x:row r="164" spans="1:31" x14ac:dyDescent="0.2">
      <x:c r="B164" s="334"/>
      <x:c r="C164" s="335"/>
      <x:c r="D164" s="336"/>
      <x:c r="E164" s="337"/>
      <x:c r="F164" s="338"/>
      <x:c r="H164" s="327">
        <x:f>IF(L164=0,"",H163+1)</x:f>
      </x:c>
      <x:c r="I164" s="328">
        <x:f>IF(L164&gt;0,NbEch+Différé+1-H164,"")</x:f>
      </x:c>
      <x:c r="J164" s="339">
        <x:f>IF(ISNUMBER(K164),YEAR(K164),"")</x:f>
      </x:c>
      <x:c r="K164" s="340">
        <x:f>IF(L164=0,"",IF(Ijour=0,MIN(DATE(YEAR(DebAmort),MONTH(DebAmort)+MoisD+(H164-1)*Imois,Jour2),DATE(YEAR(DebAmort),MONTH(DebAmort)+MoisD+1+(H164-1)*Imois,0)),DATE(YEAR(DebAmort),MONTH(DebAmort),Jour1+(H164-1)*Ijour)))</x:f>
      </x:c>
      <x:c r="L164" s="341">
        <x:f>L163-N163</x:f>
      </x:c>
      <x:c r="M164" s="331">
        <x:f>IF(H164&lt;=NoEchMaxi,ROUND(L164*R164,NbDeci),0)</x:f>
      </x:c>
      <x:c r="N164" s="330">
        <x:f>IF(OR(H164&lt;=Différé,H164&gt;NoEchMaxi),IF(DiffTotal,-M164,0),IF(H164&gt;=NoEchRemb,L164,IF(S164-(M164*EchFIXE)&gt;L164-2,L164,S164-(M164*EchFIXE))))+C164</x:f>
      </x:c>
      <x:c r="O164" s="332">
        <x:f>IF(OR(L164=0,H164&gt;NoEchMaxi),0,ROUND(FraisF+FraisV*L164,NbDeci))+F164</x:f>
      </x:c>
      <x:c r="P164" s="342">
        <x:f>SUM(M164:O164)</x:f>
      </x:c>
      <x:c r="Q164" s="0"/>
      <x:c r="R164" s="71">
        <x:f>IF(B164&gt;0,IF(TauxActuariel,((B164+1)^(1/NbEchAn))-1,B164/NbEchAn),R163)</x:f>
      </x:c>
      <x:c r="S164" s="70">
        <x:f>IF(E164&gt;0,E164,IF(D164&gt;0,IF(AND(EchFIXE,R164&gt;0),ROUND((L164-C164)*R164/(1-((1+R164)^-D164)),NbDeci),ROUND(L164/D164,NbDeci)),S163))</x:f>
      </x:c>
    </x:row>
    <x:row r="165" spans="1:31" x14ac:dyDescent="0.2">
      <x:c r="B165" s="334"/>
      <x:c r="C165" s="335"/>
      <x:c r="D165" s="336"/>
      <x:c r="E165" s="337"/>
      <x:c r="F165" s="338"/>
      <x:c r="H165" s="327">
        <x:f>IF(L165=0,"",H164+1)</x:f>
      </x:c>
      <x:c r="I165" s="328">
        <x:f>IF(L165&gt;0,NbEch+Différé+1-H165,"")</x:f>
      </x:c>
      <x:c r="J165" s="339">
        <x:f>IF(ISNUMBER(K165),YEAR(K165),"")</x:f>
      </x:c>
      <x:c r="K165" s="340">
        <x:f>IF(L165=0,"",IF(Ijour=0,MIN(DATE(YEAR(DebAmort),MONTH(DebAmort)+(H165-1)*Imois,Jour1),DATE(YEAR(DebAmort),MONTH(DebAmort)+1+(H165-1)*Imois,0)),DATE(YEAR(DebAmort),MONTH(DebAmort),Jour1+(H165-1)*Ijour)))</x:f>
      </x:c>
      <x:c r="L165" s="341">
        <x:f>L164-N164</x:f>
      </x:c>
      <x:c r="M165" s="331">
        <x:f>IF(H165&lt;=NoEchMaxi,ROUND(L165*R165,NbDeci),0)</x:f>
      </x:c>
      <x:c r="N165" s="330">
        <x:f>IF(OR(H165&lt;=Différé,H165&gt;NoEchMaxi),IF(DiffTotal,-M165,0),IF(H165&gt;=NoEchRemb,L165,IF(S165-(M165*EchFIXE)&gt;L165-2,L165,S165-(M165*EchFIXE))))+C165</x:f>
      </x:c>
      <x:c r="O165" s="332">
        <x:f>IF(OR(L165=0,H165&gt;NoEchMaxi),0,ROUND(FraisF+FraisV*L165,NbDeci))+F165</x:f>
      </x:c>
      <x:c r="P165" s="342">
        <x:f>SUM(M165:O165)</x:f>
      </x:c>
      <x:c r="Q165" s="0"/>
      <x:c r="R165" s="71">
        <x:f>IF(B165&gt;0,IF(TauxActuariel,((B165+1)^(1/NbEchAn))-1,B165/NbEchAn),R164)</x:f>
      </x:c>
      <x:c r="S165" s="70">
        <x:f>IF(E165&gt;0,E165,IF(D165&gt;0,IF(AND(EchFIXE,R165&gt;0),ROUND((L165-C165)*R165/(1-((1+R165)^-D165)),NbDeci),ROUND(L165/D165,NbDeci)),S164))</x:f>
      </x:c>
    </x:row>
    <x:row r="166" spans="1:31" x14ac:dyDescent="0.2">
      <x:c r="B166" s="334"/>
      <x:c r="C166" s="335"/>
      <x:c r="D166" s="336"/>
      <x:c r="E166" s="337"/>
      <x:c r="F166" s="338"/>
      <x:c r="H166" s="327">
        <x:f>IF(L166=0,"",H165+1)</x:f>
      </x:c>
      <x:c r="I166" s="328">
        <x:f>IF(L166&gt;0,NbEch+Différé+1-H166,"")</x:f>
      </x:c>
      <x:c r="J166" s="339">
        <x:f>IF(ISNUMBER(K166),YEAR(K166),"")</x:f>
      </x:c>
      <x:c r="K166" s="340">
        <x:f>IF(L166=0,"",IF(Ijour=0,MIN(DATE(YEAR(DebAmort),MONTH(DebAmort)+MoisD+(H166-1)*Imois,Jour2),DATE(YEAR(DebAmort),MONTH(DebAmort)+MoisD+1+(H166-1)*Imois,0)),DATE(YEAR(DebAmort),MONTH(DebAmort),Jour1+(H166-1)*Ijour)))</x:f>
      </x:c>
      <x:c r="L166" s="341">
        <x:f>L165-N165</x:f>
      </x:c>
      <x:c r="M166" s="331">
        <x:f>IF(H166&lt;=NoEchMaxi,ROUND(L166*R166,NbDeci),0)</x:f>
      </x:c>
      <x:c r="N166" s="330">
        <x:f>IF(OR(H166&lt;=Différé,H166&gt;NoEchMaxi),IF(DiffTotal,-M166,0),IF(H166&gt;=NoEchRemb,L166,IF(S166-(M166*EchFIXE)&gt;L166-2,L166,S166-(M166*EchFIXE))))+C166</x:f>
      </x:c>
      <x:c r="O166" s="332">
        <x:f>IF(OR(L166=0,H166&gt;NoEchMaxi),0,ROUND(FraisF+FraisV*L166,NbDeci))+F166</x:f>
      </x:c>
      <x:c r="P166" s="342">
        <x:f>SUM(M166:O166)</x:f>
      </x:c>
      <x:c r="Q166" s="0"/>
      <x:c r="R166" s="71">
        <x:f>IF(B166&gt;0,IF(TauxActuariel,((B166+1)^(1/NbEchAn))-1,B166/NbEchAn),R165)</x:f>
      </x:c>
      <x:c r="S166" s="70">
        <x:f>IF(E166&gt;0,E166,IF(D166&gt;0,IF(AND(EchFIXE,R166&gt;0),ROUND((L166-C166)*R166/(1-((1+R166)^-D166)),NbDeci),ROUND(L166/D166,NbDeci)),S165))</x:f>
      </x:c>
    </x:row>
    <x:row r="167" spans="1:31" x14ac:dyDescent="0.2">
      <x:c r="B167" s="334"/>
      <x:c r="C167" s="335"/>
      <x:c r="D167" s="336"/>
      <x:c r="E167" s="337"/>
      <x:c r="F167" s="338"/>
      <x:c r="H167" s="327">
        <x:f>IF(L167=0,"",H166+1)</x:f>
      </x:c>
      <x:c r="I167" s="328">
        <x:f>IF(L167&gt;0,NbEch+Différé+1-H167,"")</x:f>
      </x:c>
      <x:c r="J167" s="339">
        <x:f>IF(ISNUMBER(K167),YEAR(K167),"")</x:f>
      </x:c>
      <x:c r="K167" s="340">
        <x:f>IF(L167=0,"",IF(Ijour=0,MIN(DATE(YEAR(DebAmort),MONTH(DebAmort)+(H167-1)*Imois,Jour1),DATE(YEAR(DebAmort),MONTH(DebAmort)+1+(H167-1)*Imois,0)),DATE(YEAR(DebAmort),MONTH(DebAmort),Jour1+(H167-1)*Ijour)))</x:f>
      </x:c>
      <x:c r="L167" s="341">
        <x:f>L166-N166</x:f>
      </x:c>
      <x:c r="M167" s="331">
        <x:f>IF(H167&lt;=NoEchMaxi,ROUND(L167*R167,NbDeci),0)</x:f>
      </x:c>
      <x:c r="N167" s="330">
        <x:f>IF(OR(H167&lt;=Différé,H167&gt;NoEchMaxi),IF(DiffTotal,-M167,0),IF(H167&gt;=NoEchRemb,L167,IF(S167-(M167*EchFIXE)&gt;L167-2,L167,S167-(M167*EchFIXE))))+C167</x:f>
      </x:c>
      <x:c r="O167" s="332">
        <x:f>IF(OR(L167=0,H167&gt;NoEchMaxi),0,ROUND(FraisF+FraisV*L167,NbDeci))+F167</x:f>
      </x:c>
      <x:c r="P167" s="342">
        <x:f>SUM(M167:O167)</x:f>
      </x:c>
      <x:c r="Q167" s="0"/>
      <x:c r="R167" s="71">
        <x:f>IF(B167&gt;0,IF(TauxActuariel,((B167+1)^(1/NbEchAn))-1,B167/NbEchAn),R166)</x:f>
      </x:c>
      <x:c r="S167" s="70">
        <x:f>IF(E167&gt;0,E167,IF(D167&gt;0,IF(AND(EchFIXE,R167&gt;0),ROUND((L167-C167)*R167/(1-((1+R167)^-D167)),NbDeci),ROUND(L167/D167,NbDeci)),S166))</x:f>
      </x:c>
    </x:row>
    <x:row r="168" spans="1:31" x14ac:dyDescent="0.2">
      <x:c r="B168" s="334"/>
      <x:c r="C168" s="335"/>
      <x:c r="D168" s="336"/>
      <x:c r="E168" s="337"/>
      <x:c r="F168" s="338"/>
      <x:c r="H168" s="327">
        <x:f>IF(L168=0,"",H167+1)</x:f>
      </x:c>
      <x:c r="I168" s="328">
        <x:f>IF(L168&gt;0,NbEch+Différé+1-H168,"")</x:f>
      </x:c>
      <x:c r="J168" s="339">
        <x:f>IF(ISNUMBER(K168),YEAR(K168),"")</x:f>
      </x:c>
      <x:c r="K168" s="340">
        <x:f>IF(L168=0,"",IF(Ijour=0,MIN(DATE(YEAR(DebAmort),MONTH(DebAmort)+MoisD+(H168-1)*Imois,Jour2),DATE(YEAR(DebAmort),MONTH(DebAmort)+MoisD+1+(H168-1)*Imois,0)),DATE(YEAR(DebAmort),MONTH(DebAmort),Jour1+(H168-1)*Ijour)))</x:f>
      </x:c>
      <x:c r="L168" s="341">
        <x:f>L167-N167</x:f>
      </x:c>
      <x:c r="M168" s="331">
        <x:f>IF(H168&lt;=NoEchMaxi,ROUND(L168*R168,NbDeci),0)</x:f>
      </x:c>
      <x:c r="N168" s="330">
        <x:f>IF(OR(H168&lt;=Différé,H168&gt;NoEchMaxi),IF(DiffTotal,-M168,0),IF(H168&gt;=NoEchRemb,L168,IF(S168-(M168*EchFIXE)&gt;L168-2,L168,S168-(M168*EchFIXE))))+C168</x:f>
      </x:c>
      <x:c r="O168" s="332">
        <x:f>IF(OR(L168=0,H168&gt;NoEchMaxi),0,ROUND(FraisF+FraisV*L168,NbDeci))+F168</x:f>
      </x:c>
      <x:c r="P168" s="342">
        <x:f>SUM(M168:O168)</x:f>
      </x:c>
      <x:c r="Q168" s="0"/>
      <x:c r="R168" s="71">
        <x:f>IF(B168&gt;0,IF(TauxActuariel,((B168+1)^(1/NbEchAn))-1,B168/NbEchAn),R167)</x:f>
      </x:c>
      <x:c r="S168" s="70">
        <x:f>IF(E168&gt;0,E168,IF(D168&gt;0,IF(AND(EchFIXE,R168&gt;0),ROUND((L168-C168)*R168/(1-((1+R168)^-D168)),NbDeci),ROUND(L168/D168,NbDeci)),S167))</x:f>
      </x:c>
    </x:row>
    <x:row r="169" spans="1:31" x14ac:dyDescent="0.2">
      <x:c r="B169" s="334"/>
      <x:c r="C169" s="335"/>
      <x:c r="D169" s="336"/>
      <x:c r="E169" s="337"/>
      <x:c r="F169" s="338"/>
      <x:c r="H169" s="327">
        <x:f>IF(L169=0,"",H168+1)</x:f>
      </x:c>
      <x:c r="I169" s="328">
        <x:f>IF(L169&gt;0,NbEch+Différé+1-H169,"")</x:f>
      </x:c>
      <x:c r="J169" s="339">
        <x:f>IF(ISNUMBER(K169),YEAR(K169),"")</x:f>
      </x:c>
      <x:c r="K169" s="340">
        <x:f>IF(L169=0,"",IF(Ijour=0,MIN(DATE(YEAR(DebAmort),MONTH(DebAmort)+(H169-1)*Imois,Jour1),DATE(YEAR(DebAmort),MONTH(DebAmort)+1+(H169-1)*Imois,0)),DATE(YEAR(DebAmort),MONTH(DebAmort),Jour1+(H169-1)*Ijour)))</x:f>
      </x:c>
      <x:c r="L169" s="341">
        <x:f>L168-N168</x:f>
      </x:c>
      <x:c r="M169" s="331">
        <x:f>IF(H169&lt;=NoEchMaxi,ROUND(L169*R169,NbDeci),0)</x:f>
      </x:c>
      <x:c r="N169" s="330">
        <x:f>IF(OR(H169&lt;=Différé,H169&gt;NoEchMaxi),IF(DiffTotal,-M169,0),IF(H169&gt;=NoEchRemb,L169,IF(S169-(M169*EchFIXE)&gt;L169-2,L169,S169-(M169*EchFIXE))))+C169</x:f>
      </x:c>
      <x:c r="O169" s="332">
        <x:f>IF(OR(L169=0,H169&gt;NoEchMaxi),0,ROUND(FraisF+FraisV*L169,NbDeci))+F169</x:f>
      </x:c>
      <x:c r="P169" s="342">
        <x:f>SUM(M169:O169)</x:f>
      </x:c>
      <x:c r="Q169" s="0"/>
      <x:c r="R169" s="71">
        <x:f>IF(B169&gt;0,IF(TauxActuariel,((B169+1)^(1/NbEchAn))-1,B169/NbEchAn),R168)</x:f>
      </x:c>
      <x:c r="S169" s="70">
        <x:f>IF(E169&gt;0,E169,IF(D169&gt;0,IF(AND(EchFIXE,R169&gt;0),ROUND((L169-C169)*R169/(1-((1+R169)^-D169)),NbDeci),ROUND(L169/D169,NbDeci)),S168))</x:f>
      </x:c>
    </x:row>
    <x:row r="170" spans="1:31" x14ac:dyDescent="0.2">
      <x:c r="B170" s="334"/>
      <x:c r="C170" s="335"/>
      <x:c r="D170" s="336"/>
      <x:c r="E170" s="337"/>
      <x:c r="F170" s="338"/>
      <x:c r="H170" s="327">
        <x:f>IF(L170=0,"",H169+1)</x:f>
      </x:c>
      <x:c r="I170" s="328">
        <x:f>IF(L170&gt;0,NbEch+Différé+1-H170,"")</x:f>
      </x:c>
      <x:c r="J170" s="339">
        <x:f>IF(ISNUMBER(K170),YEAR(K170),"")</x:f>
      </x:c>
      <x:c r="K170" s="340">
        <x:f>IF(L170=0,"",IF(Ijour=0,MIN(DATE(YEAR(DebAmort),MONTH(DebAmort)+MoisD+(H170-1)*Imois,Jour2),DATE(YEAR(DebAmort),MONTH(DebAmort)+MoisD+1+(H170-1)*Imois,0)),DATE(YEAR(DebAmort),MONTH(DebAmort),Jour1+(H170-1)*Ijour)))</x:f>
      </x:c>
      <x:c r="L170" s="341">
        <x:f>L169-N169</x:f>
      </x:c>
      <x:c r="M170" s="331">
        <x:f>IF(H170&lt;=NoEchMaxi,ROUND(L170*R170,NbDeci),0)</x:f>
      </x:c>
      <x:c r="N170" s="330">
        <x:f>IF(OR(H170&lt;=Différé,H170&gt;NoEchMaxi),IF(DiffTotal,-M170,0),IF(H170&gt;=NoEchRemb,L170,IF(S170-(M170*EchFIXE)&gt;L170-2,L170,S170-(M170*EchFIXE))))+C170</x:f>
      </x:c>
      <x:c r="O170" s="332">
        <x:f>IF(OR(L170=0,H170&gt;NoEchMaxi),0,ROUND(FraisF+FraisV*L170,NbDeci))+F170</x:f>
      </x:c>
      <x:c r="P170" s="342">
        <x:f>SUM(M170:O170)</x:f>
      </x:c>
      <x:c r="Q170" s="0"/>
      <x:c r="R170" s="71">
        <x:f>IF(B170&gt;0,IF(TauxActuariel,((B170+1)^(1/NbEchAn))-1,B170/NbEchAn),R169)</x:f>
      </x:c>
      <x:c r="S170" s="70">
        <x:f>IF(E170&gt;0,E170,IF(D170&gt;0,IF(AND(EchFIXE,R170&gt;0),ROUND((L170-C170)*R170/(1-((1+R170)^-D170)),NbDeci),ROUND(L170/D170,NbDeci)),S169))</x:f>
      </x:c>
    </x:row>
    <x:row r="171" spans="1:31" x14ac:dyDescent="0.2">
      <x:c r="B171" s="334"/>
      <x:c r="C171" s="335"/>
      <x:c r="D171" s="336"/>
      <x:c r="E171" s="337"/>
      <x:c r="F171" s="338"/>
      <x:c r="H171" s="327">
        <x:f>IF(L171=0,"",H170+1)</x:f>
      </x:c>
      <x:c r="I171" s="328">
        <x:f>IF(L171&gt;0,NbEch+Différé+1-H171,"")</x:f>
      </x:c>
      <x:c r="J171" s="339">
        <x:f>IF(ISNUMBER(K171),YEAR(K171),"")</x:f>
      </x:c>
      <x:c r="K171" s="340">
        <x:f>IF(L171=0,"",IF(Ijour=0,MIN(DATE(YEAR(DebAmort),MONTH(DebAmort)+(H171-1)*Imois,Jour1),DATE(YEAR(DebAmort),MONTH(DebAmort)+1+(H171-1)*Imois,0)),DATE(YEAR(DebAmort),MONTH(DebAmort),Jour1+(H171-1)*Ijour)))</x:f>
      </x:c>
      <x:c r="L171" s="341">
        <x:f>L170-N170</x:f>
      </x:c>
      <x:c r="M171" s="331">
        <x:f>IF(H171&lt;=NoEchMaxi,ROUND(L171*R171,NbDeci),0)</x:f>
      </x:c>
      <x:c r="N171" s="330">
        <x:f>IF(OR(H171&lt;=Différé,H171&gt;NoEchMaxi),IF(DiffTotal,-M171,0),IF(H171&gt;=NoEchRemb,L171,IF(S171-(M171*EchFIXE)&gt;L171-2,L171,S171-(M171*EchFIXE))))+C171</x:f>
      </x:c>
      <x:c r="O171" s="332">
        <x:f>IF(OR(L171=0,H171&gt;NoEchMaxi),0,ROUND(FraisF+FraisV*L171,NbDeci))+F171</x:f>
      </x:c>
      <x:c r="P171" s="342">
        <x:f>SUM(M171:O171)</x:f>
      </x:c>
      <x:c r="Q171" s="0"/>
      <x:c r="R171" s="71">
        <x:f>IF(B171&gt;0,IF(TauxActuariel,((B171+1)^(1/NbEchAn))-1,B171/NbEchAn),R170)</x:f>
      </x:c>
      <x:c r="S171" s="70">
        <x:f>IF(E171&gt;0,E171,IF(D171&gt;0,IF(AND(EchFIXE,R171&gt;0),ROUND((L171-C171)*R171/(1-((1+R171)^-D171)),NbDeci),ROUND(L171/D171,NbDeci)),S170))</x:f>
      </x:c>
    </x:row>
    <x:row r="172" spans="1:31" x14ac:dyDescent="0.2">
      <x:c r="B172" s="334"/>
      <x:c r="C172" s="335"/>
      <x:c r="D172" s="336"/>
      <x:c r="E172" s="337"/>
      <x:c r="F172" s="338"/>
      <x:c r="H172" s="327">
        <x:f>IF(L172=0,"",H171+1)</x:f>
      </x:c>
      <x:c r="I172" s="328">
        <x:f>IF(L172&gt;0,NbEch+Différé+1-H172,"")</x:f>
      </x:c>
      <x:c r="J172" s="339">
        <x:f>IF(ISNUMBER(K172),YEAR(K172),"")</x:f>
      </x:c>
      <x:c r="K172" s="340">
        <x:f>IF(L172=0,"",IF(Ijour=0,MIN(DATE(YEAR(DebAmort),MONTH(DebAmort)+MoisD+(H172-1)*Imois,Jour2),DATE(YEAR(DebAmort),MONTH(DebAmort)+MoisD+1+(H172-1)*Imois,0)),DATE(YEAR(DebAmort),MONTH(DebAmort),Jour1+(H172-1)*Ijour)))</x:f>
      </x:c>
      <x:c r="L172" s="341">
        <x:f>L171-N171</x:f>
      </x:c>
      <x:c r="M172" s="331">
        <x:f>IF(H172&lt;=NoEchMaxi,ROUND(L172*R172,NbDeci),0)</x:f>
      </x:c>
      <x:c r="N172" s="330">
        <x:f>IF(OR(H172&lt;=Différé,H172&gt;NoEchMaxi),IF(DiffTotal,-M172,0),IF(H172&gt;=NoEchRemb,L172,IF(S172-(M172*EchFIXE)&gt;L172-2,L172,S172-(M172*EchFIXE))))+C172</x:f>
      </x:c>
      <x:c r="O172" s="332">
        <x:f>IF(OR(L172=0,H172&gt;NoEchMaxi),0,ROUND(FraisF+FraisV*L172,NbDeci))+F172</x:f>
      </x:c>
      <x:c r="P172" s="342">
        <x:f>SUM(M172:O172)</x:f>
      </x:c>
      <x:c r="Q172" s="0"/>
      <x:c r="R172" s="71">
        <x:f>IF(B172&gt;0,IF(TauxActuariel,((B172+1)^(1/NbEchAn))-1,B172/NbEchAn),R171)</x:f>
      </x:c>
      <x:c r="S172" s="70">
        <x:f>IF(E172&gt;0,E172,IF(D172&gt;0,IF(AND(EchFIXE,R172&gt;0),ROUND((L172-C172)*R172/(1-((1+R172)^-D172)),NbDeci),ROUND(L172/D172,NbDeci)),S171))</x:f>
      </x:c>
    </x:row>
    <x:row r="173" spans="1:31" x14ac:dyDescent="0.2">
      <x:c r="B173" s="334"/>
      <x:c r="C173" s="335"/>
      <x:c r="D173" s="336"/>
      <x:c r="E173" s="337"/>
      <x:c r="F173" s="338"/>
      <x:c r="H173" s="327">
        <x:f>IF(L173=0,"",H172+1)</x:f>
      </x:c>
      <x:c r="I173" s="328">
        <x:f>IF(L173&gt;0,NbEch+Différé+1-H173,"")</x:f>
      </x:c>
      <x:c r="J173" s="339">
        <x:f>IF(ISNUMBER(K173),YEAR(K173),"")</x:f>
      </x:c>
      <x:c r="K173" s="340">
        <x:f>IF(L173=0,"",IF(Ijour=0,MIN(DATE(YEAR(DebAmort),MONTH(DebAmort)+(H173-1)*Imois,Jour1),DATE(YEAR(DebAmort),MONTH(DebAmort)+1+(H173-1)*Imois,0)),DATE(YEAR(DebAmort),MONTH(DebAmort),Jour1+(H173-1)*Ijour)))</x:f>
      </x:c>
      <x:c r="L173" s="341">
        <x:f>L172-N172</x:f>
      </x:c>
      <x:c r="M173" s="331">
        <x:f>IF(H173&lt;=NoEchMaxi,ROUND(L173*R173,NbDeci),0)</x:f>
      </x:c>
      <x:c r="N173" s="330">
        <x:f>IF(OR(H173&lt;=Différé,H173&gt;NoEchMaxi),IF(DiffTotal,-M173,0),IF(H173&gt;=NoEchRemb,L173,IF(S173-(M173*EchFIXE)&gt;L173-2,L173,S173-(M173*EchFIXE))))+C173</x:f>
      </x:c>
      <x:c r="O173" s="332">
        <x:f>IF(OR(L173=0,H173&gt;NoEchMaxi),0,ROUND(FraisF+FraisV*L173,NbDeci))+F173</x:f>
      </x:c>
      <x:c r="P173" s="342">
        <x:f>SUM(M173:O173)</x:f>
      </x:c>
      <x:c r="Q173" s="0"/>
      <x:c r="R173" s="71">
        <x:f>IF(B173&gt;0,IF(TauxActuariel,((B173+1)^(1/NbEchAn))-1,B173/NbEchAn),R172)</x:f>
      </x:c>
      <x:c r="S173" s="70">
        <x:f>IF(E173&gt;0,E173,IF(D173&gt;0,IF(AND(EchFIXE,R173&gt;0),ROUND((L173-C173)*R173/(1-((1+R173)^-D173)),NbDeci),ROUND(L173/D173,NbDeci)),S172))</x:f>
      </x:c>
    </x:row>
    <x:row r="174" spans="1:31" x14ac:dyDescent="0.2">
      <x:c r="B174" s="334"/>
      <x:c r="C174" s="335"/>
      <x:c r="D174" s="336"/>
      <x:c r="E174" s="337"/>
      <x:c r="F174" s="338"/>
      <x:c r="H174" s="327">
        <x:f>IF(L174=0,"",H173+1)</x:f>
      </x:c>
      <x:c r="I174" s="328">
        <x:f>IF(L174&gt;0,NbEch+Différé+1-H174,"")</x:f>
      </x:c>
      <x:c r="J174" s="339">
        <x:f>IF(ISNUMBER(K174),YEAR(K174),"")</x:f>
      </x:c>
      <x:c r="K174" s="340">
        <x:f>IF(L174=0,"",IF(Ijour=0,MIN(DATE(YEAR(DebAmort),MONTH(DebAmort)+MoisD+(H174-1)*Imois,Jour2),DATE(YEAR(DebAmort),MONTH(DebAmort)+MoisD+1+(H174-1)*Imois,0)),DATE(YEAR(DebAmort),MONTH(DebAmort),Jour1+(H174-1)*Ijour)))</x:f>
      </x:c>
      <x:c r="L174" s="341">
        <x:f>L173-N173</x:f>
      </x:c>
      <x:c r="M174" s="331">
        <x:f>IF(H174&lt;=NoEchMaxi,ROUND(L174*R174,NbDeci),0)</x:f>
      </x:c>
      <x:c r="N174" s="330">
        <x:f>IF(OR(H174&lt;=Différé,H174&gt;NoEchMaxi),IF(DiffTotal,-M174,0),IF(H174&gt;=NoEchRemb,L174,IF(S174-(M174*EchFIXE)&gt;L174-2,L174,S174-(M174*EchFIXE))))+C174</x:f>
      </x:c>
      <x:c r="O174" s="332">
        <x:f>IF(OR(L174=0,H174&gt;NoEchMaxi),0,ROUND(FraisF+FraisV*L174,NbDeci))+F174</x:f>
      </x:c>
      <x:c r="P174" s="342">
        <x:f>SUM(M174:O174)</x:f>
      </x:c>
      <x:c r="Q174" s="0"/>
      <x:c r="R174" s="71">
        <x:f>IF(B174&gt;0,IF(TauxActuariel,((B174+1)^(1/NbEchAn))-1,B174/NbEchAn),R173)</x:f>
      </x:c>
      <x:c r="S174" s="70">
        <x:f>IF(E174&gt;0,E174,IF(D174&gt;0,IF(AND(EchFIXE,R174&gt;0),ROUND((L174-C174)*R174/(1-((1+R174)^-D174)),NbDeci),ROUND(L174/D174,NbDeci)),S173))</x:f>
      </x:c>
    </x:row>
    <x:row r="175" spans="1:31" x14ac:dyDescent="0.2">
      <x:c r="B175" s="334"/>
      <x:c r="C175" s="335"/>
      <x:c r="D175" s="336"/>
      <x:c r="E175" s="337"/>
      <x:c r="F175" s="338"/>
      <x:c r="H175" s="327">
        <x:f>IF(L175=0,"",H174+1)</x:f>
      </x:c>
      <x:c r="I175" s="328">
        <x:f>IF(L175&gt;0,NbEch+Différé+1-H175,"")</x:f>
      </x:c>
      <x:c r="J175" s="339">
        <x:f>IF(ISNUMBER(K175),YEAR(K175),"")</x:f>
      </x:c>
      <x:c r="K175" s="340">
        <x:f>IF(L175=0,"",IF(Ijour=0,MIN(DATE(YEAR(DebAmort),MONTH(DebAmort)+(H175-1)*Imois,Jour1),DATE(YEAR(DebAmort),MONTH(DebAmort)+1+(H175-1)*Imois,0)),DATE(YEAR(DebAmort),MONTH(DebAmort),Jour1+(H175-1)*Ijour)))</x:f>
      </x:c>
      <x:c r="L175" s="341">
        <x:f>L174-N174</x:f>
      </x:c>
      <x:c r="M175" s="331">
        <x:f>IF(H175&lt;=NoEchMaxi,ROUND(L175*R175,NbDeci),0)</x:f>
      </x:c>
      <x:c r="N175" s="330">
        <x:f>IF(OR(H175&lt;=Différé,H175&gt;NoEchMaxi),IF(DiffTotal,-M175,0),IF(H175&gt;=NoEchRemb,L175,IF(S175-(M175*EchFIXE)&gt;L175-2,L175,S175-(M175*EchFIXE))))+C175</x:f>
      </x:c>
      <x:c r="O175" s="332">
        <x:f>IF(OR(L175=0,H175&gt;NoEchMaxi),0,ROUND(FraisF+FraisV*L175,NbDeci))+F175</x:f>
      </x:c>
      <x:c r="P175" s="342">
        <x:f>SUM(M175:O175)</x:f>
      </x:c>
      <x:c r="Q175" s="0"/>
      <x:c r="R175" s="71">
        <x:f>IF(B175&gt;0,IF(TauxActuariel,((B175+1)^(1/NbEchAn))-1,B175/NbEchAn),R174)</x:f>
      </x:c>
      <x:c r="S175" s="70">
        <x:f>IF(E175&gt;0,E175,IF(D175&gt;0,IF(AND(EchFIXE,R175&gt;0),ROUND((L175-C175)*R175/(1-((1+R175)^-D175)),NbDeci),ROUND(L175/D175,NbDeci)),S174))</x:f>
      </x:c>
    </x:row>
    <x:row r="176" spans="1:31" x14ac:dyDescent="0.2">
      <x:c r="B176" s="334"/>
      <x:c r="C176" s="335"/>
      <x:c r="D176" s="336"/>
      <x:c r="E176" s="337"/>
      <x:c r="F176" s="338"/>
      <x:c r="H176" s="327">
        <x:f>IF(L176=0,"",H175+1)</x:f>
      </x:c>
      <x:c r="I176" s="328">
        <x:f>IF(L176&gt;0,NbEch+Différé+1-H176,"")</x:f>
      </x:c>
      <x:c r="J176" s="339">
        <x:f>IF(ISNUMBER(K176),YEAR(K176),"")</x:f>
      </x:c>
      <x:c r="K176" s="340">
        <x:f>IF(L176=0,"",IF(Ijour=0,MIN(DATE(YEAR(DebAmort),MONTH(DebAmort)+MoisD+(H176-1)*Imois,Jour2),DATE(YEAR(DebAmort),MONTH(DebAmort)+MoisD+1+(H176-1)*Imois,0)),DATE(YEAR(DebAmort),MONTH(DebAmort),Jour1+(H176-1)*Ijour)))</x:f>
      </x:c>
      <x:c r="L176" s="341">
        <x:f>L175-N175</x:f>
      </x:c>
      <x:c r="M176" s="331">
        <x:f>IF(H176&lt;=NoEchMaxi,ROUND(L176*R176,NbDeci),0)</x:f>
      </x:c>
      <x:c r="N176" s="330">
        <x:f>IF(OR(H176&lt;=Différé,H176&gt;NoEchMaxi),IF(DiffTotal,-M176,0),IF(H176&gt;=NoEchRemb,L176,IF(S176-(M176*EchFIXE)&gt;L176-2,L176,S176-(M176*EchFIXE))))+C176</x:f>
      </x:c>
      <x:c r="O176" s="332">
        <x:f>IF(OR(L176=0,H176&gt;NoEchMaxi),0,ROUND(FraisF+FraisV*L176,NbDeci))+F176</x:f>
      </x:c>
      <x:c r="P176" s="342">
        <x:f>SUM(M176:O176)</x:f>
      </x:c>
      <x:c r="Q176" s="0"/>
      <x:c r="R176" s="71">
        <x:f>IF(B176&gt;0,IF(TauxActuariel,((B176+1)^(1/NbEchAn))-1,B176/NbEchAn),R175)</x:f>
      </x:c>
      <x:c r="S176" s="70">
        <x:f>IF(E176&gt;0,E176,IF(D176&gt;0,IF(AND(EchFIXE,R176&gt;0),ROUND((L176-C176)*R176/(1-((1+R176)^-D176)),NbDeci),ROUND(L176/D176,NbDeci)),S175))</x:f>
      </x:c>
    </x:row>
    <x:row r="177" spans="1:31" x14ac:dyDescent="0.2">
      <x:c r="B177" s="334"/>
      <x:c r="C177" s="335"/>
      <x:c r="D177" s="336"/>
      <x:c r="E177" s="337"/>
      <x:c r="F177" s="338"/>
      <x:c r="H177" s="327">
        <x:f>IF(L177=0,"",H176+1)</x:f>
      </x:c>
      <x:c r="I177" s="328">
        <x:f>IF(L177&gt;0,NbEch+Différé+1-H177,"")</x:f>
      </x:c>
      <x:c r="J177" s="339">
        <x:f>IF(ISNUMBER(K177),YEAR(K177),"")</x:f>
      </x:c>
      <x:c r="K177" s="340">
        <x:f>IF(L177=0,"",IF(Ijour=0,MIN(DATE(YEAR(DebAmort),MONTH(DebAmort)+(H177-1)*Imois,Jour1),DATE(YEAR(DebAmort),MONTH(DebAmort)+1+(H177-1)*Imois,0)),DATE(YEAR(DebAmort),MONTH(DebAmort),Jour1+(H177-1)*Ijour)))</x:f>
      </x:c>
      <x:c r="L177" s="341">
        <x:f>L176-N176</x:f>
      </x:c>
      <x:c r="M177" s="331">
        <x:f>IF(H177&lt;=NoEchMaxi,ROUND(L177*R177,NbDeci),0)</x:f>
      </x:c>
      <x:c r="N177" s="330">
        <x:f>IF(OR(H177&lt;=Différé,H177&gt;NoEchMaxi),IF(DiffTotal,-M177,0),IF(H177&gt;=NoEchRemb,L177,IF(S177-(M177*EchFIXE)&gt;L177-2,L177,S177-(M177*EchFIXE))))+C177</x:f>
      </x:c>
      <x:c r="O177" s="332">
        <x:f>IF(OR(L177=0,H177&gt;NoEchMaxi),0,ROUND(FraisF+FraisV*L177,NbDeci))+F177</x:f>
      </x:c>
      <x:c r="P177" s="342">
        <x:f>SUM(M177:O177)</x:f>
      </x:c>
      <x:c r="Q177" s="0"/>
      <x:c r="R177" s="71">
        <x:f>IF(B177&gt;0,IF(TauxActuariel,((B177+1)^(1/NbEchAn))-1,B177/NbEchAn),R176)</x:f>
      </x:c>
      <x:c r="S177" s="70">
        <x:f>IF(E177&gt;0,E177,IF(D177&gt;0,IF(AND(EchFIXE,R177&gt;0),ROUND((L177-C177)*R177/(1-((1+R177)^-D177)),NbDeci),ROUND(L177/D177,NbDeci)),S176))</x:f>
      </x:c>
    </x:row>
    <x:row r="178" spans="1:31" x14ac:dyDescent="0.2">
      <x:c r="B178" s="334"/>
      <x:c r="C178" s="335"/>
      <x:c r="D178" s="336"/>
      <x:c r="E178" s="337"/>
      <x:c r="F178" s="338"/>
      <x:c r="H178" s="327">
        <x:f>IF(L178=0,"",H177+1)</x:f>
      </x:c>
      <x:c r="I178" s="328">
        <x:f>IF(L178&gt;0,NbEch+Différé+1-H178,"")</x:f>
      </x:c>
      <x:c r="J178" s="339">
        <x:f>IF(ISNUMBER(K178),YEAR(K178),"")</x:f>
      </x:c>
      <x:c r="K178" s="340">
        <x:f>IF(L178=0,"",IF(Ijour=0,MIN(DATE(YEAR(DebAmort),MONTH(DebAmort)+MoisD+(H178-1)*Imois,Jour2),DATE(YEAR(DebAmort),MONTH(DebAmort)+MoisD+1+(H178-1)*Imois,0)),DATE(YEAR(DebAmort),MONTH(DebAmort),Jour1+(H178-1)*Ijour)))</x:f>
      </x:c>
      <x:c r="L178" s="341">
        <x:f>L177-N177</x:f>
      </x:c>
      <x:c r="M178" s="331">
        <x:f>IF(H178&lt;=NoEchMaxi,ROUND(L178*R178,NbDeci),0)</x:f>
      </x:c>
      <x:c r="N178" s="330">
        <x:f>IF(OR(H178&lt;=Différé,H178&gt;NoEchMaxi),IF(DiffTotal,-M178,0),IF(H178&gt;=NoEchRemb,L178,IF(S178-(M178*EchFIXE)&gt;L178-2,L178,S178-(M178*EchFIXE))))+C178</x:f>
      </x:c>
      <x:c r="O178" s="332">
        <x:f>IF(OR(L178=0,H178&gt;NoEchMaxi),0,ROUND(FraisF+FraisV*L178,NbDeci))+F178</x:f>
      </x:c>
      <x:c r="P178" s="342">
        <x:f>SUM(M178:O178)</x:f>
      </x:c>
      <x:c r="Q178" s="0"/>
      <x:c r="R178" s="71">
        <x:f>IF(B178&gt;0,IF(TauxActuariel,((B178+1)^(1/NbEchAn))-1,B178/NbEchAn),R177)</x:f>
      </x:c>
      <x:c r="S178" s="70">
        <x:f>IF(E178&gt;0,E178,IF(D178&gt;0,IF(AND(EchFIXE,R178&gt;0),ROUND((L178-C178)*R178/(1-((1+R178)^-D178)),NbDeci),ROUND(L178/D178,NbDeci)),S177))</x:f>
      </x:c>
    </x:row>
    <x:row r="179" spans="1:31" x14ac:dyDescent="0.2">
      <x:c r="B179" s="334"/>
      <x:c r="C179" s="335"/>
      <x:c r="D179" s="336"/>
      <x:c r="E179" s="337"/>
      <x:c r="F179" s="338"/>
      <x:c r="H179" s="327">
        <x:f>IF(L179=0,"",H178+1)</x:f>
      </x:c>
      <x:c r="I179" s="328">
        <x:f>IF(L179&gt;0,NbEch+Différé+1-H179,"")</x:f>
      </x:c>
      <x:c r="J179" s="339">
        <x:f>IF(ISNUMBER(K179),YEAR(K179),"")</x:f>
      </x:c>
      <x:c r="K179" s="340">
        <x:f>IF(L179=0,"",IF(Ijour=0,MIN(DATE(YEAR(DebAmort),MONTH(DebAmort)+(H179-1)*Imois,Jour1),DATE(YEAR(DebAmort),MONTH(DebAmort)+1+(H179-1)*Imois,0)),DATE(YEAR(DebAmort),MONTH(DebAmort),Jour1+(H179-1)*Ijour)))</x:f>
      </x:c>
      <x:c r="L179" s="341">
        <x:f>L178-N178</x:f>
      </x:c>
      <x:c r="M179" s="331">
        <x:f>IF(H179&lt;=NoEchMaxi,ROUND(L179*R179,NbDeci),0)</x:f>
      </x:c>
      <x:c r="N179" s="330">
        <x:f>IF(OR(H179&lt;=Différé,H179&gt;NoEchMaxi),IF(DiffTotal,-M179,0),IF(H179&gt;=NoEchRemb,L179,IF(S179-(M179*EchFIXE)&gt;L179-2,L179,S179-(M179*EchFIXE))))+C179</x:f>
      </x:c>
      <x:c r="O179" s="332">
        <x:f>IF(OR(L179=0,H179&gt;NoEchMaxi),0,ROUND(FraisF+FraisV*L179,NbDeci))+F179</x:f>
      </x:c>
      <x:c r="P179" s="342">
        <x:f>SUM(M179:O179)</x:f>
      </x:c>
      <x:c r="Q179" s="0"/>
      <x:c r="R179" s="71">
        <x:f>IF(B179&gt;0,IF(TauxActuariel,((B179+1)^(1/NbEchAn))-1,B179/NbEchAn),R178)</x:f>
      </x:c>
      <x:c r="S179" s="70">
        <x:f>IF(E179&gt;0,E179,IF(D179&gt;0,IF(AND(EchFIXE,R179&gt;0),ROUND((L179-C179)*R179/(1-((1+R179)^-D179)),NbDeci),ROUND(L179/D179,NbDeci)),S178))</x:f>
      </x:c>
    </x:row>
    <x:row r="180" spans="1:31" x14ac:dyDescent="0.2">
      <x:c r="B180" s="334"/>
      <x:c r="C180" s="335"/>
      <x:c r="D180" s="336"/>
      <x:c r="E180" s="337"/>
      <x:c r="F180" s="338"/>
      <x:c r="H180" s="327">
        <x:f>IF(L180=0,"",H179+1)</x:f>
      </x:c>
      <x:c r="I180" s="328">
        <x:f>IF(L180&gt;0,NbEch+Différé+1-H180,"")</x:f>
      </x:c>
      <x:c r="J180" s="339">
        <x:f>IF(ISNUMBER(K180),YEAR(K180),"")</x:f>
      </x:c>
      <x:c r="K180" s="340">
        <x:f>IF(L180=0,"",IF(Ijour=0,MIN(DATE(YEAR(DebAmort),MONTH(DebAmort)+MoisD+(H180-1)*Imois,Jour2),DATE(YEAR(DebAmort),MONTH(DebAmort)+MoisD+1+(H180-1)*Imois,0)),DATE(YEAR(DebAmort),MONTH(DebAmort),Jour1+(H180-1)*Ijour)))</x:f>
      </x:c>
      <x:c r="L180" s="341">
        <x:f>L179-N179</x:f>
      </x:c>
      <x:c r="M180" s="331">
        <x:f>IF(H180&lt;=NoEchMaxi,ROUND(L180*R180,NbDeci),0)</x:f>
      </x:c>
      <x:c r="N180" s="330">
        <x:f>IF(OR(H180&lt;=Différé,H180&gt;NoEchMaxi),IF(DiffTotal,-M180,0),IF(H180&gt;=NoEchRemb,L180,IF(S180-(M180*EchFIXE)&gt;L180-2,L180,S180-(M180*EchFIXE))))+C180</x:f>
      </x:c>
      <x:c r="O180" s="332">
        <x:f>IF(OR(L180=0,H180&gt;NoEchMaxi),0,ROUND(FraisF+FraisV*L180,NbDeci))+F180</x:f>
      </x:c>
      <x:c r="P180" s="342">
        <x:f>SUM(M180:O180)</x:f>
      </x:c>
      <x:c r="Q180" s="0"/>
      <x:c r="R180" s="71">
        <x:f>IF(B180&gt;0,IF(TauxActuariel,((B180+1)^(1/NbEchAn))-1,B180/NbEchAn),R179)</x:f>
      </x:c>
      <x:c r="S180" s="70">
        <x:f>IF(E180&gt;0,E180,IF(D180&gt;0,IF(AND(EchFIXE,R180&gt;0),ROUND((L180-C180)*R180/(1-((1+R180)^-D180)),NbDeci),ROUND(L180/D180,NbDeci)),S179))</x:f>
      </x:c>
    </x:row>
    <x:row r="181" spans="1:31" x14ac:dyDescent="0.2">
      <x:c r="B181" s="334"/>
      <x:c r="C181" s="335"/>
      <x:c r="D181" s="336"/>
      <x:c r="E181" s="337"/>
      <x:c r="F181" s="338"/>
      <x:c r="H181" s="327">
        <x:f>IF(L181=0,"",H180+1)</x:f>
      </x:c>
      <x:c r="I181" s="328">
        <x:f>IF(L181&gt;0,NbEch+Différé+1-H181,"")</x:f>
      </x:c>
      <x:c r="J181" s="339">
        <x:f>IF(ISNUMBER(K181),YEAR(K181),"")</x:f>
      </x:c>
      <x:c r="K181" s="340">
        <x:f>IF(L181=0,"",IF(Ijour=0,MIN(DATE(YEAR(DebAmort),MONTH(DebAmort)+(H181-1)*Imois,Jour1),DATE(YEAR(DebAmort),MONTH(DebAmort)+1+(H181-1)*Imois,0)),DATE(YEAR(DebAmort),MONTH(DebAmort),Jour1+(H181-1)*Ijour)))</x:f>
      </x:c>
      <x:c r="L181" s="341">
        <x:f>L180-N180</x:f>
      </x:c>
      <x:c r="M181" s="331">
        <x:f>IF(H181&lt;=NoEchMaxi,ROUND(L181*R181,NbDeci),0)</x:f>
      </x:c>
      <x:c r="N181" s="330">
        <x:f>IF(OR(H181&lt;=Différé,H181&gt;NoEchMaxi),IF(DiffTotal,-M181,0),IF(H181&gt;=NoEchRemb,L181,IF(S181-(M181*EchFIXE)&gt;L181-2,L181,S181-(M181*EchFIXE))))+C181</x:f>
      </x:c>
      <x:c r="O181" s="332">
        <x:f>IF(OR(L181=0,H181&gt;NoEchMaxi),0,ROUND(FraisF+FraisV*L181,NbDeci))+F181</x:f>
      </x:c>
      <x:c r="P181" s="342">
        <x:f>SUM(M181:O181)</x:f>
      </x:c>
      <x:c r="Q181" s="0"/>
      <x:c r="R181" s="71">
        <x:f>IF(B181&gt;0,IF(TauxActuariel,((B181+1)^(1/NbEchAn))-1,B181/NbEchAn),R180)</x:f>
      </x:c>
      <x:c r="S181" s="70">
        <x:f>IF(E181&gt;0,E181,IF(D181&gt;0,IF(AND(EchFIXE,R181&gt;0),ROUND((L181-C181)*R181/(1-((1+R181)^-D181)),NbDeci),ROUND(L181/D181,NbDeci)),S180))</x:f>
      </x:c>
    </x:row>
    <x:row r="182" spans="1:31" x14ac:dyDescent="0.2">
      <x:c r="B182" s="334"/>
      <x:c r="C182" s="335"/>
      <x:c r="D182" s="336"/>
      <x:c r="E182" s="337"/>
      <x:c r="F182" s="338"/>
      <x:c r="H182" s="327">
        <x:f>IF(L182=0,"",H181+1)</x:f>
      </x:c>
      <x:c r="I182" s="328">
        <x:f>IF(L182&gt;0,NbEch+Différé+1-H182,"")</x:f>
      </x:c>
      <x:c r="J182" s="339">
        <x:f>IF(ISNUMBER(K182),YEAR(K182),"")</x:f>
      </x:c>
      <x:c r="K182" s="340">
        <x:f>IF(L182=0,"",IF(Ijour=0,MIN(DATE(YEAR(DebAmort),MONTH(DebAmort)+MoisD+(H182-1)*Imois,Jour2),DATE(YEAR(DebAmort),MONTH(DebAmort)+MoisD+1+(H182-1)*Imois,0)),DATE(YEAR(DebAmort),MONTH(DebAmort),Jour1+(H182-1)*Ijour)))</x:f>
      </x:c>
      <x:c r="L182" s="341">
        <x:f>L181-N181</x:f>
      </x:c>
      <x:c r="M182" s="331">
        <x:f>IF(H182&lt;=NoEchMaxi,ROUND(L182*R182,NbDeci),0)</x:f>
      </x:c>
      <x:c r="N182" s="330">
        <x:f>IF(OR(H182&lt;=Différé,H182&gt;NoEchMaxi),IF(DiffTotal,-M182,0),IF(H182&gt;=NoEchRemb,L182,IF(S182-(M182*EchFIXE)&gt;L182-2,L182,S182-(M182*EchFIXE))))+C182</x:f>
      </x:c>
      <x:c r="O182" s="332">
        <x:f>IF(OR(L182=0,H182&gt;NoEchMaxi),0,ROUND(FraisF+FraisV*L182,NbDeci))+F182</x:f>
      </x:c>
      <x:c r="P182" s="342">
        <x:f>SUM(M182:O182)</x:f>
      </x:c>
      <x:c r="Q182" s="0"/>
      <x:c r="R182" s="71">
        <x:f>IF(B182&gt;0,IF(TauxActuariel,((B182+1)^(1/NbEchAn))-1,B182/NbEchAn),R181)</x:f>
      </x:c>
      <x:c r="S182" s="70">
        <x:f>IF(E182&gt;0,E182,IF(D182&gt;0,IF(AND(EchFIXE,R182&gt;0),ROUND((L182-C182)*R182/(1-((1+R182)^-D182)),NbDeci),ROUND(L182/D182,NbDeci)),S181))</x:f>
      </x:c>
    </x:row>
    <x:row r="183" spans="1:31" x14ac:dyDescent="0.2">
      <x:c r="B183" s="334"/>
      <x:c r="C183" s="335"/>
      <x:c r="D183" s="336"/>
      <x:c r="E183" s="337"/>
      <x:c r="F183" s="338"/>
      <x:c r="H183" s="327">
        <x:f>IF(L183=0,"",H182+1)</x:f>
      </x:c>
      <x:c r="I183" s="328">
        <x:f>IF(L183&gt;0,NbEch+Différé+1-H183,"")</x:f>
      </x:c>
      <x:c r="J183" s="339">
        <x:f>IF(ISNUMBER(K183),YEAR(K183),"")</x:f>
      </x:c>
      <x:c r="K183" s="340">
        <x:f>IF(L183=0,"",IF(Ijour=0,MIN(DATE(YEAR(DebAmort),MONTH(DebAmort)+(H183-1)*Imois,Jour1),DATE(YEAR(DebAmort),MONTH(DebAmort)+1+(H183-1)*Imois,0)),DATE(YEAR(DebAmort),MONTH(DebAmort),Jour1+(H183-1)*Ijour)))</x:f>
      </x:c>
      <x:c r="L183" s="341">
        <x:f>L182-N182</x:f>
      </x:c>
      <x:c r="M183" s="331">
        <x:f>IF(H183&lt;=NoEchMaxi,ROUND(L183*R183,NbDeci),0)</x:f>
      </x:c>
      <x:c r="N183" s="330">
        <x:f>IF(OR(H183&lt;=Différé,H183&gt;NoEchMaxi),IF(DiffTotal,-M183,0),IF(H183&gt;=NoEchRemb,L183,IF(S183-(M183*EchFIXE)&gt;L183-2,L183,S183-(M183*EchFIXE))))+C183</x:f>
      </x:c>
      <x:c r="O183" s="332">
        <x:f>IF(OR(L183=0,H183&gt;NoEchMaxi),0,ROUND(FraisF+FraisV*L183,NbDeci))+F183</x:f>
      </x:c>
      <x:c r="P183" s="342">
        <x:f>SUM(M183:O183)</x:f>
      </x:c>
      <x:c r="Q183" s="0"/>
      <x:c r="R183" s="71">
        <x:f>IF(B183&gt;0,IF(TauxActuariel,((B183+1)^(1/NbEchAn))-1,B183/NbEchAn),R182)</x:f>
      </x:c>
      <x:c r="S183" s="70">
        <x:f>IF(E183&gt;0,E183,IF(D183&gt;0,IF(AND(EchFIXE,R183&gt;0),ROUND((L183-C183)*R183/(1-((1+R183)^-D183)),NbDeci),ROUND(L183/D183,NbDeci)),S182))</x:f>
      </x:c>
    </x:row>
    <x:row r="184" spans="1:31" x14ac:dyDescent="0.2">
      <x:c r="B184" s="334"/>
      <x:c r="C184" s="335"/>
      <x:c r="D184" s="336"/>
      <x:c r="E184" s="337"/>
      <x:c r="F184" s="338"/>
      <x:c r="H184" s="327">
        <x:f>IF(L184=0,"",H183+1)</x:f>
      </x:c>
      <x:c r="I184" s="328">
        <x:f>IF(L184&gt;0,NbEch+Différé+1-H184,"")</x:f>
      </x:c>
      <x:c r="J184" s="339">
        <x:f>IF(ISNUMBER(K184),YEAR(K184),"")</x:f>
      </x:c>
      <x:c r="K184" s="340">
        <x:f>IF(L184=0,"",IF(Ijour=0,MIN(DATE(YEAR(DebAmort),MONTH(DebAmort)+MoisD+(H184-1)*Imois,Jour2),DATE(YEAR(DebAmort),MONTH(DebAmort)+MoisD+1+(H184-1)*Imois,0)),DATE(YEAR(DebAmort),MONTH(DebAmort),Jour1+(H184-1)*Ijour)))</x:f>
      </x:c>
      <x:c r="L184" s="341">
        <x:f>L183-N183</x:f>
      </x:c>
      <x:c r="M184" s="331">
        <x:f>IF(H184&lt;=NoEchMaxi,ROUND(L184*R184,NbDeci),0)</x:f>
      </x:c>
      <x:c r="N184" s="330">
        <x:f>IF(OR(H184&lt;=Différé,H184&gt;NoEchMaxi),IF(DiffTotal,-M184,0),IF(H184&gt;=NoEchRemb,L184,IF(S184-(M184*EchFIXE)&gt;L184-2,L184,S184-(M184*EchFIXE))))+C184</x:f>
      </x:c>
      <x:c r="O184" s="332">
        <x:f>IF(OR(L184=0,H184&gt;NoEchMaxi),0,ROUND(FraisF+FraisV*L184,NbDeci))+F184</x:f>
      </x:c>
      <x:c r="P184" s="342">
        <x:f>SUM(M184:O184)</x:f>
      </x:c>
      <x:c r="Q184" s="0"/>
      <x:c r="R184" s="71">
        <x:f>IF(B184&gt;0,IF(TauxActuariel,((B184+1)^(1/NbEchAn))-1,B184/NbEchAn),R183)</x:f>
      </x:c>
      <x:c r="S184" s="70">
        <x:f>IF(E184&gt;0,E184,IF(D184&gt;0,IF(AND(EchFIXE,R184&gt;0),ROUND((L184-C184)*R184/(1-((1+R184)^-D184)),NbDeci),ROUND(L184/D184,NbDeci)),S183))</x:f>
      </x:c>
    </x:row>
    <x:row r="185" spans="1:31" x14ac:dyDescent="0.2">
      <x:c r="B185" s="334"/>
      <x:c r="C185" s="335"/>
      <x:c r="D185" s="336"/>
      <x:c r="E185" s="337"/>
      <x:c r="F185" s="338"/>
      <x:c r="H185" s="327">
        <x:f>IF(L185=0,"",H184+1)</x:f>
      </x:c>
      <x:c r="I185" s="328">
        <x:f>IF(L185&gt;0,NbEch+Différé+1-H185,"")</x:f>
      </x:c>
      <x:c r="J185" s="339">
        <x:f>IF(ISNUMBER(K185),YEAR(K185),"")</x:f>
      </x:c>
      <x:c r="K185" s="340">
        <x:f>IF(L185=0,"",IF(Ijour=0,MIN(DATE(YEAR(DebAmort),MONTH(DebAmort)+(H185-1)*Imois,Jour1),DATE(YEAR(DebAmort),MONTH(DebAmort)+1+(H185-1)*Imois,0)),DATE(YEAR(DebAmort),MONTH(DebAmort),Jour1+(H185-1)*Ijour)))</x:f>
      </x:c>
      <x:c r="L185" s="341">
        <x:f>L184-N184</x:f>
      </x:c>
      <x:c r="M185" s="331">
        <x:f>IF(H185&lt;=NoEchMaxi,ROUND(L185*R185,NbDeci),0)</x:f>
      </x:c>
      <x:c r="N185" s="330">
        <x:f>IF(OR(H185&lt;=Différé,H185&gt;NoEchMaxi),IF(DiffTotal,-M185,0),IF(H185&gt;=NoEchRemb,L185,IF(S185-(M185*EchFIXE)&gt;L185-2,L185,S185-(M185*EchFIXE))))+C185</x:f>
      </x:c>
      <x:c r="O185" s="332">
        <x:f>IF(OR(L185=0,H185&gt;NoEchMaxi),0,ROUND(FraisF+FraisV*L185,NbDeci))+F185</x:f>
      </x:c>
      <x:c r="P185" s="342">
        <x:f>SUM(M185:O185)</x:f>
      </x:c>
      <x:c r="Q185" s="0"/>
      <x:c r="R185" s="71">
        <x:f>IF(B185&gt;0,IF(TauxActuariel,((B185+1)^(1/NbEchAn))-1,B185/NbEchAn),R184)</x:f>
      </x:c>
      <x:c r="S185" s="70">
        <x:f>IF(E185&gt;0,E185,IF(D185&gt;0,IF(AND(EchFIXE,R185&gt;0),ROUND((L185-C185)*R185/(1-((1+R185)^-D185)),NbDeci),ROUND(L185/D185,NbDeci)),S184))</x:f>
      </x:c>
    </x:row>
    <x:row r="186" spans="1:31" x14ac:dyDescent="0.2">
      <x:c r="B186" s="334"/>
      <x:c r="C186" s="335"/>
      <x:c r="D186" s="336"/>
      <x:c r="E186" s="337"/>
      <x:c r="F186" s="338"/>
      <x:c r="H186" s="327">
        <x:f>IF(L186=0,"",H185+1)</x:f>
      </x:c>
      <x:c r="I186" s="328">
        <x:f>IF(L186&gt;0,NbEch+Différé+1-H186,"")</x:f>
      </x:c>
      <x:c r="J186" s="339">
        <x:f>IF(ISNUMBER(K186),YEAR(K186),"")</x:f>
      </x:c>
      <x:c r="K186" s="340">
        <x:f>IF(L186=0,"",IF(Ijour=0,MIN(DATE(YEAR(DebAmort),MONTH(DebAmort)+MoisD+(H186-1)*Imois,Jour2),DATE(YEAR(DebAmort),MONTH(DebAmort)+MoisD+1+(H186-1)*Imois,0)),DATE(YEAR(DebAmort),MONTH(DebAmort),Jour1+(H186-1)*Ijour)))</x:f>
      </x:c>
      <x:c r="L186" s="341">
        <x:f>L185-N185</x:f>
      </x:c>
      <x:c r="M186" s="331">
        <x:f>IF(H186&lt;=NoEchMaxi,ROUND(L186*R186,NbDeci),0)</x:f>
      </x:c>
      <x:c r="N186" s="330">
        <x:f>IF(OR(H186&lt;=Différé,H186&gt;NoEchMaxi),IF(DiffTotal,-M186,0),IF(H186&gt;=NoEchRemb,L186,IF(S186-(M186*EchFIXE)&gt;L186-2,L186,S186-(M186*EchFIXE))))+C186</x:f>
      </x:c>
      <x:c r="O186" s="332">
        <x:f>IF(OR(L186=0,H186&gt;NoEchMaxi),0,ROUND(FraisF+FraisV*L186,NbDeci))+F186</x:f>
      </x:c>
      <x:c r="P186" s="342">
        <x:f>SUM(M186:O186)</x:f>
      </x:c>
      <x:c r="Q186" s="0"/>
      <x:c r="R186" s="71">
        <x:f>IF(B186&gt;0,IF(TauxActuariel,((B186+1)^(1/NbEchAn))-1,B186/NbEchAn),R185)</x:f>
      </x:c>
      <x:c r="S186" s="70">
        <x:f>IF(E186&gt;0,E186,IF(D186&gt;0,IF(AND(EchFIXE,R186&gt;0),ROUND((L186-C186)*R186/(1-((1+R186)^-D186)),NbDeci),ROUND(L186/D186,NbDeci)),S185))</x:f>
      </x:c>
    </x:row>
    <x:row r="187" spans="1:31" x14ac:dyDescent="0.2">
      <x:c r="B187" s="334"/>
      <x:c r="C187" s="335"/>
      <x:c r="D187" s="336"/>
      <x:c r="E187" s="337"/>
      <x:c r="F187" s="338"/>
      <x:c r="H187" s="327">
        <x:f>IF(L187=0,"",H186+1)</x:f>
      </x:c>
      <x:c r="I187" s="328">
        <x:f>IF(L187&gt;0,NbEch+Différé+1-H187,"")</x:f>
      </x:c>
      <x:c r="J187" s="339">
        <x:f>IF(ISNUMBER(K187),YEAR(K187),"")</x:f>
      </x:c>
      <x:c r="K187" s="340">
        <x:f>IF(L187=0,"",IF(Ijour=0,MIN(DATE(YEAR(DebAmort),MONTH(DebAmort)+(H187-1)*Imois,Jour1),DATE(YEAR(DebAmort),MONTH(DebAmort)+1+(H187-1)*Imois,0)),DATE(YEAR(DebAmort),MONTH(DebAmort),Jour1+(H187-1)*Ijour)))</x:f>
      </x:c>
      <x:c r="L187" s="341">
        <x:f>L186-N186</x:f>
      </x:c>
      <x:c r="M187" s="331">
        <x:f>IF(H187&lt;=NoEchMaxi,ROUND(L187*R187,NbDeci),0)</x:f>
      </x:c>
      <x:c r="N187" s="330">
        <x:f>IF(OR(H187&lt;=Différé,H187&gt;NoEchMaxi),IF(DiffTotal,-M187,0),IF(H187&gt;=NoEchRemb,L187,IF(S187-(M187*EchFIXE)&gt;L187-2,L187,S187-(M187*EchFIXE))))+C187</x:f>
      </x:c>
      <x:c r="O187" s="332">
        <x:f>IF(OR(L187=0,H187&gt;NoEchMaxi),0,ROUND(FraisF+FraisV*L187,NbDeci))+F187</x:f>
      </x:c>
      <x:c r="P187" s="342">
        <x:f>SUM(M187:O187)</x:f>
      </x:c>
      <x:c r="Q187" s="0"/>
      <x:c r="R187" s="71">
        <x:f>IF(B187&gt;0,IF(TauxActuariel,((B187+1)^(1/NbEchAn))-1,B187/NbEchAn),R186)</x:f>
      </x:c>
      <x:c r="S187" s="70">
        <x:f>IF(E187&gt;0,E187,IF(D187&gt;0,IF(AND(EchFIXE,R187&gt;0),ROUND((L187-C187)*R187/(1-((1+R187)^-D187)),NbDeci),ROUND(L187/D187,NbDeci)),S186))</x:f>
      </x:c>
    </x:row>
    <x:row r="188" spans="1:31" x14ac:dyDescent="0.2">
      <x:c r="B188" s="334"/>
      <x:c r="C188" s="335"/>
      <x:c r="D188" s="336"/>
      <x:c r="E188" s="337"/>
      <x:c r="F188" s="338"/>
      <x:c r="H188" s="327">
        <x:f>IF(L188=0,"",H187+1)</x:f>
      </x:c>
      <x:c r="I188" s="328">
        <x:f>IF(L188&gt;0,NbEch+Différé+1-H188,"")</x:f>
      </x:c>
      <x:c r="J188" s="339">
        <x:f>IF(ISNUMBER(K188),YEAR(K188),"")</x:f>
      </x:c>
      <x:c r="K188" s="340">
        <x:f>IF(L188=0,"",IF(Ijour=0,MIN(DATE(YEAR(DebAmort),MONTH(DebAmort)+MoisD+(H188-1)*Imois,Jour2),DATE(YEAR(DebAmort),MONTH(DebAmort)+MoisD+1+(H188-1)*Imois,0)),DATE(YEAR(DebAmort),MONTH(DebAmort),Jour1+(H188-1)*Ijour)))</x:f>
      </x:c>
      <x:c r="L188" s="341">
        <x:f>L187-N187</x:f>
      </x:c>
      <x:c r="M188" s="331">
        <x:f>IF(H188&lt;=NoEchMaxi,ROUND(L188*R188,NbDeci),0)</x:f>
      </x:c>
      <x:c r="N188" s="330">
        <x:f>IF(OR(H188&lt;=Différé,H188&gt;NoEchMaxi),IF(DiffTotal,-M188,0),IF(H188&gt;=NoEchRemb,L188,IF(S188-(M188*EchFIXE)&gt;L188-2,L188,S188-(M188*EchFIXE))))+C188</x:f>
      </x:c>
      <x:c r="O188" s="332">
        <x:f>IF(OR(L188=0,H188&gt;NoEchMaxi),0,ROUND(FraisF+FraisV*L188,NbDeci))+F188</x:f>
      </x:c>
      <x:c r="P188" s="342">
        <x:f>SUM(M188:O188)</x:f>
      </x:c>
      <x:c r="Q188" s="0"/>
      <x:c r="R188" s="71">
        <x:f>IF(B188&gt;0,IF(TauxActuariel,((B188+1)^(1/NbEchAn))-1,B188/NbEchAn),R187)</x:f>
      </x:c>
      <x:c r="S188" s="70">
        <x:f>IF(E188&gt;0,E188,IF(D188&gt;0,IF(AND(EchFIXE,R188&gt;0),ROUND((L188-C188)*R188/(1-((1+R188)^-D188)),NbDeci),ROUND(L188/D188,NbDeci)),S187))</x:f>
      </x:c>
    </x:row>
    <x:row r="189" spans="1:31" x14ac:dyDescent="0.2">
      <x:c r="B189" s="334"/>
      <x:c r="C189" s="335"/>
      <x:c r="D189" s="336"/>
      <x:c r="E189" s="337"/>
      <x:c r="F189" s="338"/>
      <x:c r="H189" s="327">
        <x:f>IF(L189=0,"",H188+1)</x:f>
      </x:c>
      <x:c r="I189" s="328">
        <x:f>IF(L189&gt;0,NbEch+Différé+1-H189,"")</x:f>
      </x:c>
      <x:c r="J189" s="339">
        <x:f>IF(ISNUMBER(K189),YEAR(K189),"")</x:f>
      </x:c>
      <x:c r="K189" s="340">
        <x:f>IF(L189=0,"",IF(Ijour=0,MIN(DATE(YEAR(DebAmort),MONTH(DebAmort)+(H189-1)*Imois,Jour1),DATE(YEAR(DebAmort),MONTH(DebAmort)+1+(H189-1)*Imois,0)),DATE(YEAR(DebAmort),MONTH(DebAmort),Jour1+(H189-1)*Ijour)))</x:f>
      </x:c>
      <x:c r="L189" s="341">
        <x:f>L188-N188</x:f>
      </x:c>
      <x:c r="M189" s="331">
        <x:f>IF(H189&lt;=NoEchMaxi,ROUND(L189*R189,NbDeci),0)</x:f>
      </x:c>
      <x:c r="N189" s="330">
        <x:f>IF(OR(H189&lt;=Différé,H189&gt;NoEchMaxi),IF(DiffTotal,-M189,0),IF(H189&gt;=NoEchRemb,L189,IF(S189-(M189*EchFIXE)&gt;L189-2,L189,S189-(M189*EchFIXE))))+C189</x:f>
      </x:c>
      <x:c r="O189" s="332">
        <x:f>IF(OR(L189=0,H189&gt;NoEchMaxi),0,ROUND(FraisF+FraisV*L189,NbDeci))+F189</x:f>
      </x:c>
      <x:c r="P189" s="342">
        <x:f>SUM(M189:O189)</x:f>
      </x:c>
      <x:c r="Q189" s="0"/>
      <x:c r="R189" s="71">
        <x:f>IF(B189&gt;0,IF(TauxActuariel,((B189+1)^(1/NbEchAn))-1,B189/NbEchAn),R188)</x:f>
      </x:c>
      <x:c r="S189" s="70">
        <x:f>IF(E189&gt;0,E189,IF(D189&gt;0,IF(AND(EchFIXE,R189&gt;0),ROUND((L189-C189)*R189/(1-((1+R189)^-D189)),NbDeci),ROUND(L189/D189,NbDeci)),S188))</x:f>
      </x:c>
    </x:row>
    <x:row r="190" spans="1:31" x14ac:dyDescent="0.2">
      <x:c r="B190" s="334"/>
      <x:c r="C190" s="335"/>
      <x:c r="D190" s="336"/>
      <x:c r="E190" s="337"/>
      <x:c r="F190" s="338"/>
      <x:c r="H190" s="327">
        <x:f>IF(L190=0,"",H189+1)</x:f>
      </x:c>
      <x:c r="I190" s="328">
        <x:f>IF(L190&gt;0,NbEch+Différé+1-H190,"")</x:f>
      </x:c>
      <x:c r="J190" s="339">
        <x:f>IF(ISNUMBER(K190),YEAR(K190),"")</x:f>
      </x:c>
      <x:c r="K190" s="340">
        <x:f>IF(L190=0,"",IF(Ijour=0,MIN(DATE(YEAR(DebAmort),MONTH(DebAmort)+MoisD+(H190-1)*Imois,Jour2),DATE(YEAR(DebAmort),MONTH(DebAmort)+MoisD+1+(H190-1)*Imois,0)),DATE(YEAR(DebAmort),MONTH(DebAmort),Jour1+(H190-1)*Ijour)))</x:f>
      </x:c>
      <x:c r="L190" s="341">
        <x:f>L189-N189</x:f>
      </x:c>
      <x:c r="M190" s="331">
        <x:f>IF(H190&lt;=NoEchMaxi,ROUND(L190*R190,NbDeci),0)</x:f>
      </x:c>
      <x:c r="N190" s="330">
        <x:f>IF(OR(H190&lt;=Différé,H190&gt;NoEchMaxi),IF(DiffTotal,-M190,0),IF(H190&gt;=NoEchRemb,L190,IF(S190-(M190*EchFIXE)&gt;L190-2,L190,S190-(M190*EchFIXE))))+C190</x:f>
      </x:c>
      <x:c r="O190" s="332">
        <x:f>IF(OR(L190=0,H190&gt;NoEchMaxi),0,ROUND(FraisF+FraisV*L190,NbDeci))+F190</x:f>
      </x:c>
      <x:c r="P190" s="342">
        <x:f>SUM(M190:O190)</x:f>
      </x:c>
      <x:c r="Q190" s="0"/>
      <x:c r="R190" s="71">
        <x:f>IF(B190&gt;0,IF(TauxActuariel,((B190+1)^(1/NbEchAn))-1,B190/NbEchAn),R189)</x:f>
      </x:c>
      <x:c r="S190" s="70">
        <x:f>IF(E190&gt;0,E190,IF(D190&gt;0,IF(AND(EchFIXE,R190&gt;0),ROUND((L190-C190)*R190/(1-((1+R190)^-D190)),NbDeci),ROUND(L190/D190,NbDeci)),S189))</x:f>
      </x:c>
    </x:row>
    <x:row r="191" spans="1:31" x14ac:dyDescent="0.2">
      <x:c r="B191" s="334"/>
      <x:c r="C191" s="335"/>
      <x:c r="D191" s="336"/>
      <x:c r="E191" s="337"/>
      <x:c r="F191" s="338"/>
      <x:c r="H191" s="327">
        <x:f>IF(L191=0,"",H190+1)</x:f>
      </x:c>
      <x:c r="I191" s="328">
        <x:f>IF(L191&gt;0,NbEch+Différé+1-H191,"")</x:f>
      </x:c>
      <x:c r="J191" s="339">
        <x:f>IF(ISNUMBER(K191),YEAR(K191),"")</x:f>
      </x:c>
      <x:c r="K191" s="340">
        <x:f>IF(L191=0,"",IF(Ijour=0,MIN(DATE(YEAR(DebAmort),MONTH(DebAmort)+(H191-1)*Imois,Jour1),DATE(YEAR(DebAmort),MONTH(DebAmort)+1+(H191-1)*Imois,0)),DATE(YEAR(DebAmort),MONTH(DebAmort),Jour1+(H191-1)*Ijour)))</x:f>
      </x:c>
      <x:c r="L191" s="341">
        <x:f>L190-N190</x:f>
      </x:c>
      <x:c r="M191" s="331">
        <x:f>IF(H191&lt;=NoEchMaxi,ROUND(L191*R191,NbDeci),0)</x:f>
      </x:c>
      <x:c r="N191" s="330">
        <x:f>IF(OR(H191&lt;=Différé,H191&gt;NoEchMaxi),IF(DiffTotal,-M191,0),IF(H191&gt;=NoEchRemb,L191,IF(S191-(M191*EchFIXE)&gt;L191-2,L191,S191-(M191*EchFIXE))))+C191</x:f>
      </x:c>
      <x:c r="O191" s="332">
        <x:f>IF(OR(L191=0,H191&gt;NoEchMaxi),0,ROUND(FraisF+FraisV*L191,NbDeci))+F191</x:f>
      </x:c>
      <x:c r="P191" s="342">
        <x:f>SUM(M191:O191)</x:f>
      </x:c>
      <x:c r="Q191" s="0"/>
      <x:c r="R191" s="71">
        <x:f>IF(B191&gt;0,IF(TauxActuariel,((B191+1)^(1/NbEchAn))-1,B191/NbEchAn),R190)</x:f>
      </x:c>
      <x:c r="S191" s="70">
        <x:f>IF(E191&gt;0,E191,IF(D191&gt;0,IF(AND(EchFIXE,R191&gt;0),ROUND((L191-C191)*R191/(1-((1+R191)^-D191)),NbDeci),ROUND(L191/D191,NbDeci)),S190))</x:f>
      </x:c>
    </x:row>
    <x:row r="192" spans="1:31" x14ac:dyDescent="0.2">
      <x:c r="B192" s="334"/>
      <x:c r="C192" s="335"/>
      <x:c r="D192" s="336"/>
      <x:c r="E192" s="337"/>
      <x:c r="F192" s="338"/>
      <x:c r="H192" s="327">
        <x:f>IF(L192=0,"",H191+1)</x:f>
      </x:c>
      <x:c r="I192" s="328">
        <x:f>IF(L192&gt;0,NbEch+Différé+1-H192,"")</x:f>
      </x:c>
      <x:c r="J192" s="339">
        <x:f>IF(ISNUMBER(K192),YEAR(K192),"")</x:f>
      </x:c>
      <x:c r="K192" s="340">
        <x:f>IF(L192=0,"",IF(Ijour=0,MIN(DATE(YEAR(DebAmort),MONTH(DebAmort)+MoisD+(H192-1)*Imois,Jour2),DATE(YEAR(DebAmort),MONTH(DebAmort)+MoisD+1+(H192-1)*Imois,0)),DATE(YEAR(DebAmort),MONTH(DebAmort),Jour1+(H192-1)*Ijour)))</x:f>
      </x:c>
      <x:c r="L192" s="341">
        <x:f>L191-N191</x:f>
      </x:c>
      <x:c r="M192" s="331">
        <x:f>IF(H192&lt;=NoEchMaxi,ROUND(L192*R192,NbDeci),0)</x:f>
      </x:c>
      <x:c r="N192" s="330">
        <x:f>IF(OR(H192&lt;=Différé,H192&gt;NoEchMaxi),IF(DiffTotal,-M192,0),IF(H192&gt;=NoEchRemb,L192,IF(S192-(M192*EchFIXE)&gt;L192-2,L192,S192-(M192*EchFIXE))))+C192</x:f>
      </x:c>
      <x:c r="O192" s="332">
        <x:f>IF(OR(L192=0,H192&gt;NoEchMaxi),0,ROUND(FraisF+FraisV*L192,NbDeci))+F192</x:f>
      </x:c>
      <x:c r="P192" s="342">
        <x:f>SUM(M192:O192)</x:f>
      </x:c>
      <x:c r="Q192" s="0"/>
      <x:c r="R192" s="71">
        <x:f>IF(B192&gt;0,IF(TauxActuariel,((B192+1)^(1/NbEchAn))-1,B192/NbEchAn),R191)</x:f>
      </x:c>
      <x:c r="S192" s="70">
        <x:f>IF(E192&gt;0,E192,IF(D192&gt;0,IF(AND(EchFIXE,R192&gt;0),ROUND((L192-C192)*R192/(1-((1+R192)^-D192)),NbDeci),ROUND(L192/D192,NbDeci)),S191))</x:f>
      </x:c>
    </x:row>
    <x:row r="193" spans="1:31" x14ac:dyDescent="0.2">
      <x:c r="B193" s="334"/>
      <x:c r="C193" s="335"/>
      <x:c r="D193" s="336"/>
      <x:c r="E193" s="337"/>
      <x:c r="F193" s="338"/>
      <x:c r="H193" s="327">
        <x:f>IF(L193=0,"",H192+1)</x:f>
      </x:c>
      <x:c r="I193" s="328">
        <x:f>IF(L193&gt;0,NbEch+Différé+1-H193,"")</x:f>
      </x:c>
      <x:c r="J193" s="339">
        <x:f>IF(ISNUMBER(K193),YEAR(K193),"")</x:f>
      </x:c>
      <x:c r="K193" s="340">
        <x:f>IF(L193=0,"",IF(Ijour=0,MIN(DATE(YEAR(DebAmort),MONTH(DebAmort)+(H193-1)*Imois,Jour1),DATE(YEAR(DebAmort),MONTH(DebAmort)+1+(H193-1)*Imois,0)),DATE(YEAR(DebAmort),MONTH(DebAmort),Jour1+(H193-1)*Ijour)))</x:f>
      </x:c>
      <x:c r="L193" s="341">
        <x:f>L192-N192</x:f>
      </x:c>
      <x:c r="M193" s="331">
        <x:f>IF(H193&lt;=NoEchMaxi,ROUND(L193*R193,NbDeci),0)</x:f>
      </x:c>
      <x:c r="N193" s="330">
        <x:f>IF(OR(H193&lt;=Différé,H193&gt;NoEchMaxi),IF(DiffTotal,-M193,0),IF(H193&gt;=NoEchRemb,L193,IF(S193-(M193*EchFIXE)&gt;L193-2,L193,S193-(M193*EchFIXE))))+C193</x:f>
      </x:c>
      <x:c r="O193" s="332">
        <x:f>IF(OR(L193=0,H193&gt;NoEchMaxi),0,ROUND(FraisF+FraisV*L193,NbDeci))+F193</x:f>
      </x:c>
      <x:c r="P193" s="342">
        <x:f>SUM(M193:O193)</x:f>
      </x:c>
      <x:c r="Q193" s="0"/>
      <x:c r="R193" s="71">
        <x:f>IF(B193&gt;0,IF(TauxActuariel,((B193+1)^(1/NbEchAn))-1,B193/NbEchAn),R192)</x:f>
      </x:c>
      <x:c r="S193" s="70">
        <x:f>IF(E193&gt;0,E193,IF(D193&gt;0,IF(AND(EchFIXE,R193&gt;0),ROUND((L193-C193)*R193/(1-((1+R193)^-D193)),NbDeci),ROUND(L193/D193,NbDeci)),S192))</x:f>
      </x:c>
    </x:row>
    <x:row r="194" spans="1:31" x14ac:dyDescent="0.2">
      <x:c r="B194" s="334"/>
      <x:c r="C194" s="335"/>
      <x:c r="D194" s="336"/>
      <x:c r="E194" s="337"/>
      <x:c r="F194" s="338"/>
      <x:c r="H194" s="327">
        <x:f>IF(L194=0,"",H193+1)</x:f>
      </x:c>
      <x:c r="I194" s="328">
        <x:f>IF(L194&gt;0,NbEch+Différé+1-H194,"")</x:f>
      </x:c>
      <x:c r="J194" s="339">
        <x:f>IF(ISNUMBER(K194),YEAR(K194),"")</x:f>
      </x:c>
      <x:c r="K194" s="340">
        <x:f>IF(L194=0,"",IF(Ijour=0,MIN(DATE(YEAR(DebAmort),MONTH(DebAmort)+MoisD+(H194-1)*Imois,Jour2),DATE(YEAR(DebAmort),MONTH(DebAmort)+MoisD+1+(H194-1)*Imois,0)),DATE(YEAR(DebAmort),MONTH(DebAmort),Jour1+(H194-1)*Ijour)))</x:f>
      </x:c>
      <x:c r="L194" s="341">
        <x:f>L193-N193</x:f>
      </x:c>
      <x:c r="M194" s="331">
        <x:f>IF(H194&lt;=NoEchMaxi,ROUND(L194*R194,NbDeci),0)</x:f>
      </x:c>
      <x:c r="N194" s="330">
        <x:f>IF(OR(H194&lt;=Différé,H194&gt;NoEchMaxi),IF(DiffTotal,-M194,0),IF(H194&gt;=NoEchRemb,L194,IF(S194-(M194*EchFIXE)&gt;L194-2,L194,S194-(M194*EchFIXE))))+C194</x:f>
      </x:c>
      <x:c r="O194" s="332">
        <x:f>IF(OR(L194=0,H194&gt;NoEchMaxi),0,ROUND(FraisF+FraisV*L194,NbDeci))+F194</x:f>
      </x:c>
      <x:c r="P194" s="342">
        <x:f>SUM(M194:O194)</x:f>
      </x:c>
      <x:c r="Q194" s="0"/>
      <x:c r="R194" s="71">
        <x:f>IF(B194&gt;0,IF(TauxActuariel,((B194+1)^(1/NbEchAn))-1,B194/NbEchAn),R193)</x:f>
      </x:c>
      <x:c r="S194" s="70">
        <x:f>IF(E194&gt;0,E194,IF(D194&gt;0,IF(AND(EchFIXE,R194&gt;0),ROUND((L194-C194)*R194/(1-((1+R194)^-D194)),NbDeci),ROUND(L194/D194,NbDeci)),S193))</x:f>
      </x:c>
    </x:row>
    <x:row r="195" spans="1:31" x14ac:dyDescent="0.2">
      <x:c r="B195" s="334"/>
      <x:c r="C195" s="335"/>
      <x:c r="D195" s="336"/>
      <x:c r="E195" s="337"/>
      <x:c r="F195" s="338"/>
      <x:c r="H195" s="327">
        <x:f>IF(L195=0,"",H194+1)</x:f>
      </x:c>
      <x:c r="I195" s="328">
        <x:f>IF(L195&gt;0,NbEch+Différé+1-H195,"")</x:f>
      </x:c>
      <x:c r="J195" s="339">
        <x:f>IF(ISNUMBER(K195),YEAR(K195),"")</x:f>
      </x:c>
      <x:c r="K195" s="340">
        <x:f>IF(L195=0,"",IF(Ijour=0,MIN(DATE(YEAR(DebAmort),MONTH(DebAmort)+(H195-1)*Imois,Jour1),DATE(YEAR(DebAmort),MONTH(DebAmort)+1+(H195-1)*Imois,0)),DATE(YEAR(DebAmort),MONTH(DebAmort),Jour1+(H195-1)*Ijour)))</x:f>
      </x:c>
      <x:c r="L195" s="341">
        <x:f>L194-N194</x:f>
      </x:c>
      <x:c r="M195" s="331">
        <x:f>IF(H195&lt;=NoEchMaxi,ROUND(L195*R195,NbDeci),0)</x:f>
      </x:c>
      <x:c r="N195" s="330">
        <x:f>IF(OR(H195&lt;=Différé,H195&gt;NoEchMaxi),IF(DiffTotal,-M195,0),IF(H195&gt;=NoEchRemb,L195,IF(S195-(M195*EchFIXE)&gt;L195-2,L195,S195-(M195*EchFIXE))))+C195</x:f>
      </x:c>
      <x:c r="O195" s="332">
        <x:f>IF(OR(L195=0,H195&gt;NoEchMaxi),0,ROUND(FraisF+FraisV*L195,NbDeci))+F195</x:f>
      </x:c>
      <x:c r="P195" s="342">
        <x:f>SUM(M195:O195)</x:f>
      </x:c>
      <x:c r="Q195" s="0"/>
      <x:c r="R195" s="71">
        <x:f>IF(B195&gt;0,IF(TauxActuariel,((B195+1)^(1/NbEchAn))-1,B195/NbEchAn),R194)</x:f>
      </x:c>
      <x:c r="S195" s="70">
        <x:f>IF(E195&gt;0,E195,IF(D195&gt;0,IF(AND(EchFIXE,R195&gt;0),ROUND((L195-C195)*R195/(1-((1+R195)^-D195)),NbDeci),ROUND(L195/D195,NbDeci)),S194))</x:f>
      </x:c>
    </x:row>
    <x:row r="196" spans="1:31" x14ac:dyDescent="0.2">
      <x:c r="B196" s="334"/>
      <x:c r="C196" s="335"/>
      <x:c r="D196" s="336"/>
      <x:c r="E196" s="337"/>
      <x:c r="F196" s="338"/>
      <x:c r="H196" s="327">
        <x:f>IF(L196=0,"",H195+1)</x:f>
      </x:c>
      <x:c r="I196" s="328">
        <x:f>IF(L196&gt;0,NbEch+Différé+1-H196,"")</x:f>
      </x:c>
      <x:c r="J196" s="339">
        <x:f>IF(ISNUMBER(K196),YEAR(K196),"")</x:f>
      </x:c>
      <x:c r="K196" s="340">
        <x:f>IF(L196=0,"",IF(Ijour=0,MIN(DATE(YEAR(DebAmort),MONTH(DebAmort)+MoisD+(H196-1)*Imois,Jour2),DATE(YEAR(DebAmort),MONTH(DebAmort)+MoisD+1+(H196-1)*Imois,0)),DATE(YEAR(DebAmort),MONTH(DebAmort),Jour1+(H196-1)*Ijour)))</x:f>
      </x:c>
      <x:c r="L196" s="341">
        <x:f>L195-N195</x:f>
      </x:c>
      <x:c r="M196" s="331">
        <x:f>IF(H196&lt;=NoEchMaxi,ROUND(L196*R196,NbDeci),0)</x:f>
      </x:c>
      <x:c r="N196" s="330">
        <x:f>IF(OR(H196&lt;=Différé,H196&gt;NoEchMaxi),IF(DiffTotal,-M196,0),IF(H196&gt;=NoEchRemb,L196,IF(S196-(M196*EchFIXE)&gt;L196-2,L196,S196-(M196*EchFIXE))))+C196</x:f>
      </x:c>
      <x:c r="O196" s="332">
        <x:f>IF(OR(L196=0,H196&gt;NoEchMaxi),0,ROUND(FraisF+FraisV*L196,NbDeci))+F196</x:f>
      </x:c>
      <x:c r="P196" s="342">
        <x:f>SUM(M196:O196)</x:f>
      </x:c>
      <x:c r="Q196" s="0"/>
      <x:c r="R196" s="71">
        <x:f>IF(B196&gt;0,IF(TauxActuariel,((B196+1)^(1/NbEchAn))-1,B196/NbEchAn),R195)</x:f>
      </x:c>
      <x:c r="S196" s="70">
        <x:f>IF(E196&gt;0,E196,IF(D196&gt;0,IF(AND(EchFIXE,R196&gt;0),ROUND((L196-C196)*R196/(1-((1+R196)^-D196)),NbDeci),ROUND(L196/D196,NbDeci)),S195))</x:f>
      </x:c>
    </x:row>
    <x:row r="197" spans="1:31" x14ac:dyDescent="0.2">
      <x:c r="B197" s="334"/>
      <x:c r="C197" s="335"/>
      <x:c r="D197" s="336"/>
      <x:c r="E197" s="337"/>
      <x:c r="F197" s="338"/>
      <x:c r="H197" s="327">
        <x:f>IF(L197=0,"",H196+1)</x:f>
      </x:c>
      <x:c r="I197" s="328">
        <x:f>IF(L197&gt;0,NbEch+Différé+1-H197,"")</x:f>
      </x:c>
      <x:c r="J197" s="339">
        <x:f>IF(ISNUMBER(K197),YEAR(K197),"")</x:f>
      </x:c>
      <x:c r="K197" s="340">
        <x:f>IF(L197=0,"",IF(Ijour=0,MIN(DATE(YEAR(DebAmort),MONTH(DebAmort)+(H197-1)*Imois,Jour1),DATE(YEAR(DebAmort),MONTH(DebAmort)+1+(H197-1)*Imois,0)),DATE(YEAR(DebAmort),MONTH(DebAmort),Jour1+(H197-1)*Ijour)))</x:f>
      </x:c>
      <x:c r="L197" s="341">
        <x:f>L196-N196</x:f>
      </x:c>
      <x:c r="M197" s="331">
        <x:f>IF(H197&lt;=NoEchMaxi,ROUND(L197*R197,NbDeci),0)</x:f>
      </x:c>
      <x:c r="N197" s="330">
        <x:f>IF(OR(H197&lt;=Différé,H197&gt;NoEchMaxi),IF(DiffTotal,-M197,0),IF(H197&gt;=NoEchRemb,L197,IF(S197-(M197*EchFIXE)&gt;L197-2,L197,S197-(M197*EchFIXE))))+C197</x:f>
      </x:c>
      <x:c r="O197" s="332">
        <x:f>IF(OR(L197=0,H197&gt;NoEchMaxi),0,ROUND(FraisF+FraisV*L197,NbDeci))+F197</x:f>
      </x:c>
      <x:c r="P197" s="342">
        <x:f>SUM(M197:O197)</x:f>
      </x:c>
      <x:c r="Q197" s="0"/>
      <x:c r="R197" s="71">
        <x:f>IF(B197&gt;0,IF(TauxActuariel,((B197+1)^(1/NbEchAn))-1,B197/NbEchAn),R196)</x:f>
      </x:c>
      <x:c r="S197" s="70">
        <x:f>IF(E197&gt;0,E197,IF(D197&gt;0,IF(AND(EchFIXE,R197&gt;0),ROUND((L197-C197)*R197/(1-((1+R197)^-D197)),NbDeci),ROUND(L197/D197,NbDeci)),S196))</x:f>
      </x:c>
    </x:row>
    <x:row r="198" spans="1:31" x14ac:dyDescent="0.2">
      <x:c r="B198" s="334"/>
      <x:c r="C198" s="335"/>
      <x:c r="D198" s="336"/>
      <x:c r="E198" s="337"/>
      <x:c r="F198" s="338"/>
      <x:c r="H198" s="327">
        <x:f>IF(L198=0,"",H197+1)</x:f>
      </x:c>
      <x:c r="I198" s="328">
        <x:f>IF(L198&gt;0,NbEch+Différé+1-H198,"")</x:f>
      </x:c>
      <x:c r="J198" s="339">
        <x:f>IF(ISNUMBER(K198),YEAR(K198),"")</x:f>
      </x:c>
      <x:c r="K198" s="340">
        <x:f>IF(L198=0,"",IF(Ijour=0,MIN(DATE(YEAR(DebAmort),MONTH(DebAmort)+MoisD+(H198-1)*Imois,Jour2),DATE(YEAR(DebAmort),MONTH(DebAmort)+MoisD+1+(H198-1)*Imois,0)),DATE(YEAR(DebAmort),MONTH(DebAmort),Jour1+(H198-1)*Ijour)))</x:f>
      </x:c>
      <x:c r="L198" s="341">
        <x:f>L197-N197</x:f>
      </x:c>
      <x:c r="M198" s="331">
        <x:f>IF(H198&lt;=NoEchMaxi,ROUND(L198*R198,NbDeci),0)</x:f>
      </x:c>
      <x:c r="N198" s="330">
        <x:f>IF(OR(H198&lt;=Différé,H198&gt;NoEchMaxi),IF(DiffTotal,-M198,0),IF(H198&gt;=NoEchRemb,L198,IF(S198-(M198*EchFIXE)&gt;L198-2,L198,S198-(M198*EchFIXE))))+C198</x:f>
      </x:c>
      <x:c r="O198" s="332">
        <x:f>IF(OR(L198=0,H198&gt;NoEchMaxi),0,ROUND(FraisF+FraisV*L198,NbDeci))+F198</x:f>
      </x:c>
      <x:c r="P198" s="342">
        <x:f>SUM(M198:O198)</x:f>
      </x:c>
      <x:c r="Q198" s="0"/>
      <x:c r="R198" s="71">
        <x:f>IF(B198&gt;0,IF(TauxActuariel,((B198+1)^(1/NbEchAn))-1,B198/NbEchAn),R197)</x:f>
      </x:c>
      <x:c r="S198" s="70">
        <x:f>IF(E198&gt;0,E198,IF(D198&gt;0,IF(AND(EchFIXE,R198&gt;0),ROUND((L198-C198)*R198/(1-((1+R198)^-D198)),NbDeci),ROUND(L198/D198,NbDeci)),S197))</x:f>
      </x:c>
    </x:row>
    <x:row r="199" spans="1:31" x14ac:dyDescent="0.2">
      <x:c r="B199" s="334"/>
      <x:c r="C199" s="335"/>
      <x:c r="D199" s="336"/>
      <x:c r="E199" s="337"/>
      <x:c r="F199" s="338"/>
      <x:c r="H199" s="327">
        <x:f>IF(L199=0,"",H198+1)</x:f>
      </x:c>
      <x:c r="I199" s="328">
        <x:f>IF(L199&gt;0,NbEch+Différé+1-H199,"")</x:f>
      </x:c>
      <x:c r="J199" s="339">
        <x:f>IF(ISNUMBER(K199),YEAR(K199),"")</x:f>
      </x:c>
      <x:c r="K199" s="340">
        <x:f>IF(L199=0,"",IF(Ijour=0,MIN(DATE(YEAR(DebAmort),MONTH(DebAmort)+(H199-1)*Imois,Jour1),DATE(YEAR(DebAmort),MONTH(DebAmort)+1+(H199-1)*Imois,0)),DATE(YEAR(DebAmort),MONTH(DebAmort),Jour1+(H199-1)*Ijour)))</x:f>
      </x:c>
      <x:c r="L199" s="341">
        <x:f>L198-N198</x:f>
      </x:c>
      <x:c r="M199" s="331">
        <x:f>IF(H199&lt;=NoEchMaxi,ROUND(L199*R199,NbDeci),0)</x:f>
      </x:c>
      <x:c r="N199" s="330">
        <x:f>IF(OR(H199&lt;=Différé,H199&gt;NoEchMaxi),IF(DiffTotal,-M199,0),IF(H199&gt;=NoEchRemb,L199,IF(S199-(M199*EchFIXE)&gt;L199-2,L199,S199-(M199*EchFIXE))))+C199</x:f>
      </x:c>
      <x:c r="O199" s="332">
        <x:f>IF(OR(L199=0,H199&gt;NoEchMaxi),0,ROUND(FraisF+FraisV*L199,NbDeci))+F199</x:f>
      </x:c>
      <x:c r="P199" s="342">
        <x:f>SUM(M199:O199)</x:f>
      </x:c>
      <x:c r="Q199" s="0"/>
      <x:c r="R199" s="71">
        <x:f>IF(B199&gt;0,IF(TauxActuariel,((B199+1)^(1/NbEchAn))-1,B199/NbEchAn),R198)</x:f>
      </x:c>
      <x:c r="S199" s="70">
        <x:f>IF(E199&gt;0,E199,IF(D199&gt;0,IF(AND(EchFIXE,R199&gt;0),ROUND((L199-C199)*R199/(1-((1+R199)^-D199)),NbDeci),ROUND(L199/D199,NbDeci)),S198))</x:f>
      </x:c>
    </x:row>
    <x:row r="200" spans="1:31" x14ac:dyDescent="0.2">
      <x:c r="B200" s="334"/>
      <x:c r="C200" s="335"/>
      <x:c r="D200" s="336"/>
      <x:c r="E200" s="337"/>
      <x:c r="F200" s="338"/>
      <x:c r="H200" s="327">
        <x:f>IF(L200=0,"",H199+1)</x:f>
      </x:c>
      <x:c r="I200" s="328">
        <x:f>IF(L200&gt;0,NbEch+Différé+1-H200,"")</x:f>
      </x:c>
      <x:c r="J200" s="339">
        <x:f>IF(ISNUMBER(K200),YEAR(K200),"")</x:f>
      </x:c>
      <x:c r="K200" s="340">
        <x:f>IF(L200=0,"",IF(Ijour=0,MIN(DATE(YEAR(DebAmort),MONTH(DebAmort)+MoisD+(H200-1)*Imois,Jour2),DATE(YEAR(DebAmort),MONTH(DebAmort)+MoisD+1+(H200-1)*Imois,0)),DATE(YEAR(DebAmort),MONTH(DebAmort),Jour1+(H200-1)*Ijour)))</x:f>
      </x:c>
      <x:c r="L200" s="341">
        <x:f>L199-N199</x:f>
      </x:c>
      <x:c r="M200" s="331">
        <x:f>IF(H200&lt;=NoEchMaxi,ROUND(L200*R200,NbDeci),0)</x:f>
      </x:c>
      <x:c r="N200" s="330">
        <x:f>IF(OR(H200&lt;=Différé,H200&gt;NoEchMaxi),IF(DiffTotal,-M200,0),IF(H200&gt;=NoEchRemb,L200,IF(S200-(M200*EchFIXE)&gt;L200-2,L200,S200-(M200*EchFIXE))))+C200</x:f>
      </x:c>
      <x:c r="O200" s="332">
        <x:f>IF(OR(L200=0,H200&gt;NoEchMaxi),0,ROUND(FraisF+FraisV*L200,NbDeci))+F200</x:f>
      </x:c>
      <x:c r="P200" s="342">
        <x:f>SUM(M200:O200)</x:f>
      </x:c>
      <x:c r="Q200" s="0"/>
      <x:c r="R200" s="71">
        <x:f>IF(B200&gt;0,IF(TauxActuariel,((B200+1)^(1/NbEchAn))-1,B200/NbEchAn),R199)</x:f>
      </x:c>
      <x:c r="S200" s="70">
        <x:f>IF(E200&gt;0,E200,IF(D200&gt;0,IF(AND(EchFIXE,R200&gt;0),ROUND((L200-C200)*R200/(1-((1+R200)^-D200)),NbDeci),ROUND(L200/D200,NbDeci)),S199))</x:f>
      </x:c>
    </x:row>
    <x:row r="201" spans="1:31" x14ac:dyDescent="0.2">
      <x:c r="B201" s="334"/>
      <x:c r="C201" s="335"/>
      <x:c r="D201" s="336"/>
      <x:c r="E201" s="337"/>
      <x:c r="F201" s="338"/>
      <x:c r="H201" s="327">
        <x:f>IF(L201=0,"",H200+1)</x:f>
      </x:c>
      <x:c r="I201" s="328">
        <x:f>IF(L201&gt;0,NbEch+Différé+1-H201,"")</x:f>
      </x:c>
      <x:c r="J201" s="339">
        <x:f>IF(ISNUMBER(K201),YEAR(K201),"")</x:f>
      </x:c>
      <x:c r="K201" s="340">
        <x:f>IF(L201=0,"",IF(Ijour=0,MIN(DATE(YEAR(DebAmort),MONTH(DebAmort)+(H201-1)*Imois,Jour1),DATE(YEAR(DebAmort),MONTH(DebAmort)+1+(H201-1)*Imois,0)),DATE(YEAR(DebAmort),MONTH(DebAmort),Jour1+(H201-1)*Ijour)))</x:f>
      </x:c>
      <x:c r="L201" s="341">
        <x:f>L200-N200</x:f>
      </x:c>
      <x:c r="M201" s="331">
        <x:f>IF(H201&lt;=NoEchMaxi,ROUND(L201*R201,NbDeci),0)</x:f>
      </x:c>
      <x:c r="N201" s="330">
        <x:f>IF(OR(H201&lt;=Différé,H201&gt;NoEchMaxi),IF(DiffTotal,-M201,0),IF(H201&gt;=NoEchRemb,L201,IF(S201-(M201*EchFIXE)&gt;L201-2,L201,S201-(M201*EchFIXE))))+C201</x:f>
      </x:c>
      <x:c r="O201" s="332">
        <x:f>IF(OR(L201=0,H201&gt;NoEchMaxi),0,ROUND(FraisF+FraisV*L201,NbDeci))+F201</x:f>
      </x:c>
      <x:c r="P201" s="342">
        <x:f>SUM(M201:O201)</x:f>
      </x:c>
      <x:c r="Q201" s="0"/>
      <x:c r="R201" s="71">
        <x:f>IF(B201&gt;0,IF(TauxActuariel,((B201+1)^(1/NbEchAn))-1,B201/NbEchAn),R200)</x:f>
      </x:c>
      <x:c r="S201" s="70">
        <x:f>IF(E201&gt;0,E201,IF(D201&gt;0,IF(AND(EchFIXE,R201&gt;0),ROUND((L201-C201)*R201/(1-((1+R201)^-D201)),NbDeci),ROUND(L201/D201,NbDeci)),S200))</x:f>
      </x:c>
    </x:row>
    <x:row r="202" spans="1:31" x14ac:dyDescent="0.2">
      <x:c r="B202" s="334"/>
      <x:c r="C202" s="335"/>
      <x:c r="D202" s="336"/>
      <x:c r="E202" s="337"/>
      <x:c r="F202" s="338"/>
      <x:c r="H202" s="327">
        <x:f>IF(L202=0,"",H201+1)</x:f>
      </x:c>
      <x:c r="I202" s="328">
        <x:f>IF(L202&gt;0,NbEch+Différé+1-H202,"")</x:f>
      </x:c>
      <x:c r="J202" s="339">
        <x:f>IF(ISNUMBER(K202),YEAR(K202),"")</x:f>
      </x:c>
      <x:c r="K202" s="340">
        <x:f>IF(L202=0,"",IF(Ijour=0,MIN(DATE(YEAR(DebAmort),MONTH(DebAmort)+MoisD+(H202-1)*Imois,Jour2),DATE(YEAR(DebAmort),MONTH(DebAmort)+MoisD+1+(H202-1)*Imois,0)),DATE(YEAR(DebAmort),MONTH(DebAmort),Jour1+(H202-1)*Ijour)))</x:f>
      </x:c>
      <x:c r="L202" s="341">
        <x:f>L201-N201</x:f>
      </x:c>
      <x:c r="M202" s="331">
        <x:f>IF(H202&lt;=NoEchMaxi,ROUND(L202*R202,NbDeci),0)</x:f>
      </x:c>
      <x:c r="N202" s="330">
        <x:f>IF(OR(H202&lt;=Différé,H202&gt;NoEchMaxi),IF(DiffTotal,-M202,0),IF(H202&gt;=NoEchRemb,L202,IF(S202-(M202*EchFIXE)&gt;L202-2,L202,S202-(M202*EchFIXE))))+C202</x:f>
      </x:c>
      <x:c r="O202" s="332">
        <x:f>IF(OR(L202=0,H202&gt;NoEchMaxi),0,ROUND(FraisF+FraisV*L202,NbDeci))+F202</x:f>
      </x:c>
      <x:c r="P202" s="342">
        <x:f>SUM(M202:O202)</x:f>
      </x:c>
      <x:c r="Q202" s="0"/>
      <x:c r="R202" s="71">
        <x:f>IF(B202&gt;0,IF(TauxActuariel,((B202+1)^(1/NbEchAn))-1,B202/NbEchAn),R201)</x:f>
      </x:c>
      <x:c r="S202" s="70">
        <x:f>IF(E202&gt;0,E202,IF(D202&gt;0,IF(AND(EchFIXE,R202&gt;0),ROUND((L202-C202)*R202/(1-((1+R202)^-D202)),NbDeci),ROUND(L202/D202,NbDeci)),S201))</x:f>
      </x:c>
    </x:row>
    <x:row r="203" spans="1:31" x14ac:dyDescent="0.2">
      <x:c r="B203" s="334"/>
      <x:c r="C203" s="335"/>
      <x:c r="D203" s="336"/>
      <x:c r="E203" s="337"/>
      <x:c r="F203" s="338"/>
      <x:c r="H203" s="327">
        <x:f>IF(L203=0,"",H202+1)</x:f>
      </x:c>
      <x:c r="I203" s="328">
        <x:f>IF(L203&gt;0,NbEch+Différé+1-H203,"")</x:f>
      </x:c>
      <x:c r="J203" s="339">
        <x:f>IF(ISNUMBER(K203),YEAR(K203),"")</x:f>
      </x:c>
      <x:c r="K203" s="340">
        <x:f>IF(L203=0,"",IF(Ijour=0,MIN(DATE(YEAR(DebAmort),MONTH(DebAmort)+(H203-1)*Imois,Jour1),DATE(YEAR(DebAmort),MONTH(DebAmort)+1+(H203-1)*Imois,0)),DATE(YEAR(DebAmort),MONTH(DebAmort),Jour1+(H203-1)*Ijour)))</x:f>
      </x:c>
      <x:c r="L203" s="341">
        <x:f>L202-N202</x:f>
      </x:c>
      <x:c r="M203" s="331">
        <x:f>IF(H203&lt;=NoEchMaxi,ROUND(L203*R203,NbDeci),0)</x:f>
      </x:c>
      <x:c r="N203" s="330">
        <x:f>IF(OR(H203&lt;=Différé,H203&gt;NoEchMaxi),IF(DiffTotal,-M203,0),IF(H203&gt;=NoEchRemb,L203,IF(S203-(M203*EchFIXE)&gt;L203-2,L203,S203-(M203*EchFIXE))))+C203</x:f>
      </x:c>
      <x:c r="O203" s="332">
        <x:f>IF(OR(L203=0,H203&gt;NoEchMaxi),0,ROUND(FraisF+FraisV*L203,NbDeci))+F203</x:f>
      </x:c>
      <x:c r="P203" s="342">
        <x:f>SUM(M203:O203)</x:f>
      </x:c>
      <x:c r="Q203" s="0"/>
      <x:c r="R203" s="71">
        <x:f>IF(B203&gt;0,IF(TauxActuariel,((B203+1)^(1/NbEchAn))-1,B203/NbEchAn),R202)</x:f>
      </x:c>
      <x:c r="S203" s="70">
        <x:f>IF(E203&gt;0,E203,IF(D203&gt;0,IF(AND(EchFIXE,R203&gt;0),ROUND((L203-C203)*R203/(1-((1+R203)^-D203)),NbDeci),ROUND(L203/D203,NbDeci)),S202))</x:f>
      </x:c>
    </x:row>
    <x:row r="204" spans="1:31" x14ac:dyDescent="0.2">
      <x:c r="B204" s="334"/>
      <x:c r="C204" s="335"/>
      <x:c r="D204" s="336"/>
      <x:c r="E204" s="337"/>
      <x:c r="F204" s="338"/>
      <x:c r="H204" s="327">
        <x:f>IF(L204=0,"",H203+1)</x:f>
      </x:c>
      <x:c r="I204" s="328">
        <x:f>IF(L204&gt;0,NbEch+Différé+1-H204,"")</x:f>
      </x:c>
      <x:c r="J204" s="339">
        <x:f>IF(ISNUMBER(K204),YEAR(K204),"")</x:f>
      </x:c>
      <x:c r="K204" s="340">
        <x:f>IF(L204=0,"",IF(Ijour=0,MIN(DATE(YEAR(DebAmort),MONTH(DebAmort)+MoisD+(H204-1)*Imois,Jour2),DATE(YEAR(DebAmort),MONTH(DebAmort)+MoisD+1+(H204-1)*Imois,0)),DATE(YEAR(DebAmort),MONTH(DebAmort),Jour1+(H204-1)*Ijour)))</x:f>
      </x:c>
      <x:c r="L204" s="341">
        <x:f>L203-N203</x:f>
      </x:c>
      <x:c r="M204" s="331">
        <x:f>IF(H204&lt;=NoEchMaxi,ROUND(L204*R204,NbDeci),0)</x:f>
      </x:c>
      <x:c r="N204" s="330">
        <x:f>IF(OR(H204&lt;=Différé,H204&gt;NoEchMaxi),IF(DiffTotal,-M204,0),IF(H204&gt;=NoEchRemb,L204,IF(S204-(M204*EchFIXE)&gt;L204-2,L204,S204-(M204*EchFIXE))))+C204</x:f>
      </x:c>
      <x:c r="O204" s="332">
        <x:f>IF(OR(L204=0,H204&gt;NoEchMaxi),0,ROUND(FraisF+FraisV*L204,NbDeci))+F204</x:f>
      </x:c>
      <x:c r="P204" s="342">
        <x:f>SUM(M204:O204)</x:f>
      </x:c>
      <x:c r="Q204" s="0"/>
      <x:c r="R204" s="71">
        <x:f>IF(B204&gt;0,IF(TauxActuariel,((B204+1)^(1/NbEchAn))-1,B204/NbEchAn),R203)</x:f>
      </x:c>
      <x:c r="S204" s="70">
        <x:f>IF(E204&gt;0,E204,IF(D204&gt;0,IF(AND(EchFIXE,R204&gt;0),ROUND((L204-C204)*R204/(1-((1+R204)^-D204)),NbDeci),ROUND(L204/D204,NbDeci)),S203))</x:f>
      </x:c>
    </x:row>
    <x:row r="205" spans="1:31" x14ac:dyDescent="0.2">
      <x:c r="B205" s="334"/>
      <x:c r="C205" s="335"/>
      <x:c r="D205" s="336"/>
      <x:c r="E205" s="337"/>
      <x:c r="F205" s="338"/>
      <x:c r="H205" s="327">
        <x:f>IF(L205=0,"",H204+1)</x:f>
      </x:c>
      <x:c r="I205" s="328">
        <x:f>IF(L205&gt;0,NbEch+Différé+1-H205,"")</x:f>
      </x:c>
      <x:c r="J205" s="339">
        <x:f>IF(ISNUMBER(K205),YEAR(K205),"")</x:f>
      </x:c>
      <x:c r="K205" s="340">
        <x:f>IF(L205=0,"",IF(Ijour=0,MIN(DATE(YEAR(DebAmort),MONTH(DebAmort)+(H205-1)*Imois,Jour1),DATE(YEAR(DebAmort),MONTH(DebAmort)+1+(H205-1)*Imois,0)),DATE(YEAR(DebAmort),MONTH(DebAmort),Jour1+(H205-1)*Ijour)))</x:f>
      </x:c>
      <x:c r="L205" s="341">
        <x:f>L204-N204</x:f>
      </x:c>
      <x:c r="M205" s="331">
        <x:f>IF(H205&lt;=NoEchMaxi,ROUND(L205*R205,NbDeci),0)</x:f>
      </x:c>
      <x:c r="N205" s="330">
        <x:f>IF(OR(H205&lt;=Différé,H205&gt;NoEchMaxi),IF(DiffTotal,-M205,0),IF(H205&gt;=NoEchRemb,L205,IF(S205-(M205*EchFIXE)&gt;L205-2,L205,S205-(M205*EchFIXE))))+C205</x:f>
      </x:c>
      <x:c r="O205" s="332">
        <x:f>IF(OR(L205=0,H205&gt;NoEchMaxi),0,ROUND(FraisF+FraisV*L205,NbDeci))+F205</x:f>
      </x:c>
      <x:c r="P205" s="342">
        <x:f>SUM(M205:O205)</x:f>
      </x:c>
      <x:c r="Q205" s="0"/>
      <x:c r="R205" s="71">
        <x:f>IF(B205&gt;0,IF(TauxActuariel,((B205+1)^(1/NbEchAn))-1,B205/NbEchAn),R204)</x:f>
      </x:c>
      <x:c r="S205" s="70">
        <x:f>IF(E205&gt;0,E205,IF(D205&gt;0,IF(AND(EchFIXE,R205&gt;0),ROUND((L205-C205)*R205/(1-((1+R205)^-D205)),NbDeci),ROUND(L205/D205,NbDeci)),S204))</x:f>
      </x:c>
    </x:row>
    <x:row r="206" spans="1:31" x14ac:dyDescent="0.2">
      <x:c r="B206" s="334"/>
      <x:c r="C206" s="335"/>
      <x:c r="D206" s="336"/>
      <x:c r="E206" s="337"/>
      <x:c r="F206" s="338"/>
      <x:c r="H206" s="327">
        <x:f>IF(L206=0,"",H205+1)</x:f>
      </x:c>
      <x:c r="I206" s="328">
        <x:f>IF(L206&gt;0,NbEch+Différé+1-H206,"")</x:f>
      </x:c>
      <x:c r="J206" s="339">
        <x:f>IF(ISNUMBER(K206),YEAR(K206),"")</x:f>
      </x:c>
      <x:c r="K206" s="340">
        <x:f>IF(L206=0,"",IF(Ijour=0,MIN(DATE(YEAR(DebAmort),MONTH(DebAmort)+MoisD+(H206-1)*Imois,Jour2),DATE(YEAR(DebAmort),MONTH(DebAmort)+MoisD+1+(H206-1)*Imois,0)),DATE(YEAR(DebAmort),MONTH(DebAmort),Jour1+(H206-1)*Ijour)))</x:f>
      </x:c>
      <x:c r="L206" s="341">
        <x:f>L205-N205</x:f>
      </x:c>
      <x:c r="M206" s="331">
        <x:f>IF(H206&lt;=NoEchMaxi,ROUND(L206*R206,NbDeci),0)</x:f>
      </x:c>
      <x:c r="N206" s="330">
        <x:f>IF(OR(H206&lt;=Différé,H206&gt;NoEchMaxi),IF(DiffTotal,-M206,0),IF(H206&gt;=NoEchRemb,L206,IF(S206-(M206*EchFIXE)&gt;L206-2,L206,S206-(M206*EchFIXE))))+C206</x:f>
      </x:c>
      <x:c r="O206" s="332">
        <x:f>IF(OR(L206=0,H206&gt;NoEchMaxi),0,ROUND(FraisF+FraisV*L206,NbDeci))+F206</x:f>
      </x:c>
      <x:c r="P206" s="342">
        <x:f>SUM(M206:O206)</x:f>
      </x:c>
      <x:c r="Q206" s="0"/>
      <x:c r="R206" s="71">
        <x:f>IF(B206&gt;0,IF(TauxActuariel,((B206+1)^(1/NbEchAn))-1,B206/NbEchAn),R205)</x:f>
      </x:c>
      <x:c r="S206" s="70">
        <x:f>IF(E206&gt;0,E206,IF(D206&gt;0,IF(AND(EchFIXE,R206&gt;0),ROUND((L206-C206)*R206/(1-((1+R206)^-D206)),NbDeci),ROUND(L206/D206,NbDeci)),S205))</x:f>
      </x:c>
    </x:row>
    <x:row r="207" spans="1:31" x14ac:dyDescent="0.2">
      <x:c r="B207" s="334"/>
      <x:c r="C207" s="335"/>
      <x:c r="D207" s="336"/>
      <x:c r="E207" s="337"/>
      <x:c r="F207" s="338"/>
      <x:c r="H207" s="327">
        <x:f>IF(L207=0,"",H206+1)</x:f>
      </x:c>
      <x:c r="I207" s="328">
        <x:f>IF(L207&gt;0,NbEch+Différé+1-H207,"")</x:f>
      </x:c>
      <x:c r="J207" s="339">
        <x:f>IF(ISNUMBER(K207),YEAR(K207),"")</x:f>
      </x:c>
      <x:c r="K207" s="340">
        <x:f>IF(L207=0,"",IF(Ijour=0,MIN(DATE(YEAR(DebAmort),MONTH(DebAmort)+(H207-1)*Imois,Jour1),DATE(YEAR(DebAmort),MONTH(DebAmort)+1+(H207-1)*Imois,0)),DATE(YEAR(DebAmort),MONTH(DebAmort),Jour1+(H207-1)*Ijour)))</x:f>
      </x:c>
      <x:c r="L207" s="341">
        <x:f>L206-N206</x:f>
      </x:c>
      <x:c r="M207" s="331">
        <x:f>IF(H207&lt;=NoEchMaxi,ROUND(L207*R207,NbDeci),0)</x:f>
      </x:c>
      <x:c r="N207" s="330">
        <x:f>IF(OR(H207&lt;=Différé,H207&gt;NoEchMaxi),IF(DiffTotal,-M207,0),IF(H207&gt;=NoEchRemb,L207,IF(S207-(M207*EchFIXE)&gt;L207-2,L207,S207-(M207*EchFIXE))))+C207</x:f>
      </x:c>
      <x:c r="O207" s="332">
        <x:f>IF(OR(L207=0,H207&gt;NoEchMaxi),0,ROUND(FraisF+FraisV*L207,NbDeci))+F207</x:f>
      </x:c>
      <x:c r="P207" s="342">
        <x:f>SUM(M207:O207)</x:f>
      </x:c>
      <x:c r="Q207" s="0"/>
      <x:c r="R207" s="71">
        <x:f>IF(B207&gt;0,IF(TauxActuariel,((B207+1)^(1/NbEchAn))-1,B207/NbEchAn),R206)</x:f>
      </x:c>
      <x:c r="S207" s="70">
        <x:f>IF(E207&gt;0,E207,IF(D207&gt;0,IF(AND(EchFIXE,R207&gt;0),ROUND((L207-C207)*R207/(1-((1+R207)^-D207)),NbDeci),ROUND(L207/D207,NbDeci)),S206))</x:f>
      </x:c>
    </x:row>
    <x:row r="208" spans="1:31" x14ac:dyDescent="0.2">
      <x:c r="B208" s="334"/>
      <x:c r="C208" s="335"/>
      <x:c r="D208" s="336"/>
      <x:c r="E208" s="337"/>
      <x:c r="F208" s="338"/>
      <x:c r="H208" s="327">
        <x:f>IF(L208=0,"",H207+1)</x:f>
      </x:c>
      <x:c r="I208" s="328">
        <x:f>IF(L208&gt;0,NbEch+Différé+1-H208,"")</x:f>
      </x:c>
      <x:c r="J208" s="339">
        <x:f>IF(ISNUMBER(K208),YEAR(K208),"")</x:f>
      </x:c>
      <x:c r="K208" s="340">
        <x:f>IF(L208=0,"",IF(Ijour=0,MIN(DATE(YEAR(DebAmort),MONTH(DebAmort)+MoisD+(H208-1)*Imois,Jour2),DATE(YEAR(DebAmort),MONTH(DebAmort)+MoisD+1+(H208-1)*Imois,0)),DATE(YEAR(DebAmort),MONTH(DebAmort),Jour1+(H208-1)*Ijour)))</x:f>
      </x:c>
      <x:c r="L208" s="341">
        <x:f>L207-N207</x:f>
      </x:c>
      <x:c r="M208" s="331">
        <x:f>IF(H208&lt;=NoEchMaxi,ROUND(L208*R208,NbDeci),0)</x:f>
      </x:c>
      <x:c r="N208" s="330">
        <x:f>IF(OR(H208&lt;=Différé,H208&gt;NoEchMaxi),IF(DiffTotal,-M208,0),IF(H208&gt;=NoEchRemb,L208,IF(S208-(M208*EchFIXE)&gt;L208-2,L208,S208-(M208*EchFIXE))))+C208</x:f>
      </x:c>
      <x:c r="O208" s="332">
        <x:f>IF(OR(L208=0,H208&gt;NoEchMaxi),0,ROUND(FraisF+FraisV*L208,NbDeci))+F208</x:f>
      </x:c>
      <x:c r="P208" s="342">
        <x:f>SUM(M208:O208)</x:f>
      </x:c>
      <x:c r="Q208" s="0"/>
      <x:c r="R208" s="71">
        <x:f>IF(B208&gt;0,IF(TauxActuariel,((B208+1)^(1/NbEchAn))-1,B208/NbEchAn),R207)</x:f>
      </x:c>
      <x:c r="S208" s="70">
        <x:f>IF(E208&gt;0,E208,IF(D208&gt;0,IF(AND(EchFIXE,R208&gt;0),ROUND((L208-C208)*R208/(1-((1+R208)^-D208)),NbDeci),ROUND(L208/D208,NbDeci)),S207))</x:f>
      </x:c>
    </x:row>
    <x:row r="209" spans="1:31" x14ac:dyDescent="0.2">
      <x:c r="B209" s="334"/>
      <x:c r="C209" s="335"/>
      <x:c r="D209" s="336"/>
      <x:c r="E209" s="337"/>
      <x:c r="F209" s="338"/>
      <x:c r="H209" s="327">
        <x:f>IF(L209=0,"",H208+1)</x:f>
      </x:c>
      <x:c r="I209" s="328">
        <x:f>IF(L209&gt;0,NbEch+Différé+1-H209,"")</x:f>
      </x:c>
      <x:c r="J209" s="339">
        <x:f>IF(ISNUMBER(K209),YEAR(K209),"")</x:f>
      </x:c>
      <x:c r="K209" s="340">
        <x:f>IF(L209=0,"",IF(Ijour=0,MIN(DATE(YEAR(DebAmort),MONTH(DebAmort)+(H209-1)*Imois,Jour1),DATE(YEAR(DebAmort),MONTH(DebAmort)+1+(H209-1)*Imois,0)),DATE(YEAR(DebAmort),MONTH(DebAmort),Jour1+(H209-1)*Ijour)))</x:f>
      </x:c>
      <x:c r="L209" s="341">
        <x:f>L208-N208</x:f>
      </x:c>
      <x:c r="M209" s="331">
        <x:f>IF(H209&lt;=NoEchMaxi,ROUND(L209*R209,NbDeci),0)</x:f>
      </x:c>
      <x:c r="N209" s="330">
        <x:f>IF(OR(H209&lt;=Différé,H209&gt;NoEchMaxi),IF(DiffTotal,-M209,0),IF(H209&gt;=NoEchRemb,L209,IF(S209-(M209*EchFIXE)&gt;L209-2,L209,S209-(M209*EchFIXE))))+C209</x:f>
      </x:c>
      <x:c r="O209" s="332">
        <x:f>IF(OR(L209=0,H209&gt;NoEchMaxi),0,ROUND(FraisF+FraisV*L209,NbDeci))+F209</x:f>
      </x:c>
      <x:c r="P209" s="342">
        <x:f>SUM(M209:O209)</x:f>
      </x:c>
      <x:c r="Q209" s="0"/>
      <x:c r="R209" s="71">
        <x:f>IF(B209&gt;0,IF(TauxActuariel,((B209+1)^(1/NbEchAn))-1,B209/NbEchAn),R208)</x:f>
      </x:c>
      <x:c r="S209" s="70">
        <x:f>IF(E209&gt;0,E209,IF(D209&gt;0,IF(AND(EchFIXE,R209&gt;0),ROUND((L209-C209)*R209/(1-((1+R209)^-D209)),NbDeci),ROUND(L209/D209,NbDeci)),S208))</x:f>
      </x:c>
    </x:row>
    <x:row r="210" spans="1:31" x14ac:dyDescent="0.2">
      <x:c r="B210" s="334"/>
      <x:c r="C210" s="335"/>
      <x:c r="D210" s="336"/>
      <x:c r="E210" s="337"/>
      <x:c r="F210" s="338"/>
      <x:c r="H210" s="327">
        <x:f>IF(L210=0,"",H209+1)</x:f>
      </x:c>
      <x:c r="I210" s="328">
        <x:f>IF(L210&gt;0,NbEch+Différé+1-H210,"")</x:f>
      </x:c>
      <x:c r="J210" s="339">
        <x:f>IF(ISNUMBER(K210),YEAR(K210),"")</x:f>
      </x:c>
      <x:c r="K210" s="340">
        <x:f>IF(L210=0,"",IF(Ijour=0,MIN(DATE(YEAR(DebAmort),MONTH(DebAmort)+MoisD+(H210-1)*Imois,Jour2),DATE(YEAR(DebAmort),MONTH(DebAmort)+MoisD+1+(H210-1)*Imois,0)),DATE(YEAR(DebAmort),MONTH(DebAmort),Jour1+(H210-1)*Ijour)))</x:f>
      </x:c>
      <x:c r="L210" s="341">
        <x:f>L209-N209</x:f>
      </x:c>
      <x:c r="M210" s="331">
        <x:f>IF(H210&lt;=NoEchMaxi,ROUND(L210*R210,NbDeci),0)</x:f>
      </x:c>
      <x:c r="N210" s="330">
        <x:f>IF(OR(H210&lt;=Différé,H210&gt;NoEchMaxi),IF(DiffTotal,-M210,0),IF(H210&gt;=NoEchRemb,L210,IF(S210-(M210*EchFIXE)&gt;L210-2,L210,S210-(M210*EchFIXE))))+C210</x:f>
      </x:c>
      <x:c r="O210" s="332">
        <x:f>IF(OR(L210=0,H210&gt;NoEchMaxi),0,ROUND(FraisF+FraisV*L210,NbDeci))+F210</x:f>
      </x:c>
      <x:c r="P210" s="342">
        <x:f>SUM(M210:O210)</x:f>
      </x:c>
      <x:c r="Q210" s="0"/>
      <x:c r="R210" s="71">
        <x:f>IF(B210&gt;0,IF(TauxActuariel,((B210+1)^(1/NbEchAn))-1,B210/NbEchAn),R209)</x:f>
      </x:c>
      <x:c r="S210" s="70">
        <x:f>IF(E210&gt;0,E210,IF(D210&gt;0,IF(AND(EchFIXE,R210&gt;0),ROUND((L210-C210)*R210/(1-((1+R210)^-D210)),NbDeci),ROUND(L210/D210,NbDeci)),S209))</x:f>
      </x:c>
    </x:row>
    <x:row r="211" spans="1:31" x14ac:dyDescent="0.2">
      <x:c r="B211" s="334"/>
      <x:c r="C211" s="335"/>
      <x:c r="D211" s="336"/>
      <x:c r="E211" s="337"/>
      <x:c r="F211" s="338"/>
      <x:c r="H211" s="327">
        <x:f>IF(L211=0,"",H210+1)</x:f>
      </x:c>
      <x:c r="I211" s="328">
        <x:f>IF(L211&gt;0,NbEch+Différé+1-H211,"")</x:f>
      </x:c>
      <x:c r="J211" s="339">
        <x:f>IF(ISNUMBER(K211),YEAR(K211),"")</x:f>
      </x:c>
      <x:c r="K211" s="340">
        <x:f>IF(L211=0,"",IF(Ijour=0,MIN(DATE(YEAR(DebAmort),MONTH(DebAmort)+(H211-1)*Imois,Jour1),DATE(YEAR(DebAmort),MONTH(DebAmort)+1+(H211-1)*Imois,0)),DATE(YEAR(DebAmort),MONTH(DebAmort),Jour1+(H211-1)*Ijour)))</x:f>
      </x:c>
      <x:c r="L211" s="341">
        <x:f>L210-N210</x:f>
      </x:c>
      <x:c r="M211" s="331">
        <x:f>IF(H211&lt;=NoEchMaxi,ROUND(L211*R211,NbDeci),0)</x:f>
      </x:c>
      <x:c r="N211" s="330">
        <x:f>IF(OR(H211&lt;=Différé,H211&gt;NoEchMaxi),IF(DiffTotal,-M211,0),IF(H211&gt;=NoEchRemb,L211,IF(S211-(M211*EchFIXE)&gt;L211-2,L211,S211-(M211*EchFIXE))))+C211</x:f>
      </x:c>
      <x:c r="O211" s="332">
        <x:f>IF(OR(L211=0,H211&gt;NoEchMaxi),0,ROUND(FraisF+FraisV*L211,NbDeci))+F211</x:f>
      </x:c>
      <x:c r="P211" s="342">
        <x:f>SUM(M211:O211)</x:f>
      </x:c>
      <x:c r="Q211" s="0"/>
      <x:c r="R211" s="71">
        <x:f>IF(B211&gt;0,IF(TauxActuariel,((B211+1)^(1/NbEchAn))-1,B211/NbEchAn),R210)</x:f>
      </x:c>
      <x:c r="S211" s="70">
        <x:f>IF(E211&gt;0,E211,IF(D211&gt;0,IF(AND(EchFIXE,R211&gt;0),ROUND((L211-C211)*R211/(1-((1+R211)^-D211)),NbDeci),ROUND(L211/D211,NbDeci)),S210))</x:f>
      </x:c>
    </x:row>
    <x:row r="212" spans="1:31" x14ac:dyDescent="0.2">
      <x:c r="B212" s="334"/>
      <x:c r="C212" s="335"/>
      <x:c r="D212" s="336"/>
      <x:c r="E212" s="337"/>
      <x:c r="F212" s="338"/>
      <x:c r="H212" s="327">
        <x:f>IF(L212=0,"",H211+1)</x:f>
      </x:c>
      <x:c r="I212" s="328">
        <x:f>IF(L212&gt;0,NbEch+Différé+1-H212,"")</x:f>
      </x:c>
      <x:c r="J212" s="339">
        <x:f>IF(ISNUMBER(K212),YEAR(K212),"")</x:f>
      </x:c>
      <x:c r="K212" s="340">
        <x:f>IF(L212=0,"",IF(Ijour=0,MIN(DATE(YEAR(DebAmort),MONTH(DebAmort)+MoisD+(H212-1)*Imois,Jour2),DATE(YEAR(DebAmort),MONTH(DebAmort)+MoisD+1+(H212-1)*Imois,0)),DATE(YEAR(DebAmort),MONTH(DebAmort),Jour1+(H212-1)*Ijour)))</x:f>
      </x:c>
      <x:c r="L212" s="341">
        <x:f>L211-N211</x:f>
      </x:c>
      <x:c r="M212" s="331">
        <x:f>IF(H212&lt;=NoEchMaxi,ROUND(L212*R212,NbDeci),0)</x:f>
      </x:c>
      <x:c r="N212" s="330">
        <x:f>IF(OR(H212&lt;=Différé,H212&gt;NoEchMaxi),IF(DiffTotal,-M212,0),IF(H212&gt;=NoEchRemb,L212,IF(S212-(M212*EchFIXE)&gt;L212-2,L212,S212-(M212*EchFIXE))))+C212</x:f>
      </x:c>
      <x:c r="O212" s="332">
        <x:f>IF(OR(L212=0,H212&gt;NoEchMaxi),0,ROUND(FraisF+FraisV*L212,NbDeci))+F212</x:f>
      </x:c>
      <x:c r="P212" s="342">
        <x:f>SUM(M212:O212)</x:f>
      </x:c>
      <x:c r="Q212" s="0"/>
      <x:c r="R212" s="71">
        <x:f>IF(B212&gt;0,IF(TauxActuariel,((B212+1)^(1/NbEchAn))-1,B212/NbEchAn),R211)</x:f>
      </x:c>
      <x:c r="S212" s="70">
        <x:f>IF(E212&gt;0,E212,IF(D212&gt;0,IF(AND(EchFIXE,R212&gt;0),ROUND((L212-C212)*R212/(1-((1+R212)^-D212)),NbDeci),ROUND(L212/D212,NbDeci)),S211))</x:f>
      </x:c>
    </x:row>
    <x:row r="213" spans="1:31" x14ac:dyDescent="0.2">
      <x:c r="B213" s="334"/>
      <x:c r="C213" s="335"/>
      <x:c r="D213" s="336"/>
      <x:c r="E213" s="337"/>
      <x:c r="F213" s="338"/>
      <x:c r="H213" s="327">
        <x:f>IF(L213=0,"",H212+1)</x:f>
      </x:c>
      <x:c r="I213" s="328">
        <x:f>IF(L213&gt;0,NbEch+Différé+1-H213,"")</x:f>
      </x:c>
      <x:c r="J213" s="339">
        <x:f>IF(ISNUMBER(K213),YEAR(K213),"")</x:f>
      </x:c>
      <x:c r="K213" s="340">
        <x:f>IF(L213=0,"",IF(Ijour=0,MIN(DATE(YEAR(DebAmort),MONTH(DebAmort)+(H213-1)*Imois,Jour1),DATE(YEAR(DebAmort),MONTH(DebAmort)+1+(H213-1)*Imois,0)),DATE(YEAR(DebAmort),MONTH(DebAmort),Jour1+(H213-1)*Ijour)))</x:f>
      </x:c>
      <x:c r="L213" s="341">
        <x:f>L212-N212</x:f>
      </x:c>
      <x:c r="M213" s="331">
        <x:f>IF(H213&lt;=NoEchMaxi,ROUND(L213*R213,NbDeci),0)</x:f>
      </x:c>
      <x:c r="N213" s="330">
        <x:f>IF(OR(H213&lt;=Différé,H213&gt;NoEchMaxi),IF(DiffTotal,-M213,0),IF(H213&gt;=NoEchRemb,L213,IF(S213-(M213*EchFIXE)&gt;L213-2,L213,S213-(M213*EchFIXE))))+C213</x:f>
      </x:c>
      <x:c r="O213" s="332">
        <x:f>IF(OR(L213=0,H213&gt;NoEchMaxi),0,ROUND(FraisF+FraisV*L213,NbDeci))+F213</x:f>
      </x:c>
      <x:c r="P213" s="342">
        <x:f>SUM(M213:O213)</x:f>
      </x:c>
      <x:c r="Q213" s="0"/>
      <x:c r="R213" s="71">
        <x:f>IF(B213&gt;0,IF(TauxActuariel,((B213+1)^(1/NbEchAn))-1,B213/NbEchAn),R212)</x:f>
      </x:c>
      <x:c r="S213" s="70">
        <x:f>IF(E213&gt;0,E213,IF(D213&gt;0,IF(AND(EchFIXE,R213&gt;0),ROUND((L213-C213)*R213/(1-((1+R213)^-D213)),NbDeci),ROUND(L213/D213,NbDeci)),S212))</x:f>
      </x:c>
    </x:row>
    <x:row r="214" spans="1:31" x14ac:dyDescent="0.2">
      <x:c r="B214" s="334"/>
      <x:c r="C214" s="335"/>
      <x:c r="D214" s="336"/>
      <x:c r="E214" s="337"/>
      <x:c r="F214" s="338"/>
      <x:c r="H214" s="327">
        <x:f>IF(L214=0,"",H213+1)</x:f>
      </x:c>
      <x:c r="I214" s="328">
        <x:f>IF(L214&gt;0,NbEch+Différé+1-H214,"")</x:f>
      </x:c>
      <x:c r="J214" s="339">
        <x:f>IF(ISNUMBER(K214),YEAR(K214),"")</x:f>
      </x:c>
      <x:c r="K214" s="340">
        <x:f>IF(L214=0,"",IF(Ijour=0,MIN(DATE(YEAR(DebAmort),MONTH(DebAmort)+MoisD+(H214-1)*Imois,Jour2),DATE(YEAR(DebAmort),MONTH(DebAmort)+MoisD+1+(H214-1)*Imois,0)),DATE(YEAR(DebAmort),MONTH(DebAmort),Jour1+(H214-1)*Ijour)))</x:f>
      </x:c>
      <x:c r="L214" s="341">
        <x:f>L213-N213</x:f>
      </x:c>
      <x:c r="M214" s="331">
        <x:f>IF(H214&lt;=NoEchMaxi,ROUND(L214*R214,NbDeci),0)</x:f>
      </x:c>
      <x:c r="N214" s="330">
        <x:f>IF(OR(H214&lt;=Différé,H214&gt;NoEchMaxi),IF(DiffTotal,-M214,0),IF(H214&gt;=NoEchRemb,L214,IF(S214-(M214*EchFIXE)&gt;L214-2,L214,S214-(M214*EchFIXE))))+C214</x:f>
      </x:c>
      <x:c r="O214" s="332">
        <x:f>IF(OR(L214=0,H214&gt;NoEchMaxi),0,ROUND(FraisF+FraisV*L214,NbDeci))+F214</x:f>
      </x:c>
      <x:c r="P214" s="342">
        <x:f>SUM(M214:O214)</x:f>
      </x:c>
      <x:c r="Q214" s="0"/>
      <x:c r="R214" s="71">
        <x:f>IF(B214&gt;0,IF(TauxActuariel,((B214+1)^(1/NbEchAn))-1,B214/NbEchAn),R213)</x:f>
      </x:c>
      <x:c r="S214" s="70">
        <x:f>IF(E214&gt;0,E214,IF(D214&gt;0,IF(AND(EchFIXE,R214&gt;0),ROUND((L214-C214)*R214/(1-((1+R214)^-D214)),NbDeci),ROUND(L214/D214,NbDeci)),S213))</x:f>
      </x:c>
    </x:row>
    <x:row r="215" spans="1:31" x14ac:dyDescent="0.2">
      <x:c r="B215" s="334"/>
      <x:c r="C215" s="335"/>
      <x:c r="D215" s="336"/>
      <x:c r="E215" s="337"/>
      <x:c r="F215" s="338"/>
      <x:c r="H215" s="327">
        <x:f>IF(L215=0,"",H214+1)</x:f>
      </x:c>
      <x:c r="I215" s="328">
        <x:f>IF(L215&gt;0,NbEch+Différé+1-H215,"")</x:f>
      </x:c>
      <x:c r="J215" s="339">
        <x:f>IF(ISNUMBER(K215),YEAR(K215),"")</x:f>
      </x:c>
      <x:c r="K215" s="340">
        <x:f>IF(L215=0,"",IF(Ijour=0,MIN(DATE(YEAR(DebAmort),MONTH(DebAmort)+(H215-1)*Imois,Jour1),DATE(YEAR(DebAmort),MONTH(DebAmort)+1+(H215-1)*Imois,0)),DATE(YEAR(DebAmort),MONTH(DebAmort),Jour1+(H215-1)*Ijour)))</x:f>
      </x:c>
      <x:c r="L215" s="341">
        <x:f>L214-N214</x:f>
      </x:c>
      <x:c r="M215" s="331">
        <x:f>IF(H215&lt;=NoEchMaxi,ROUND(L215*R215,NbDeci),0)</x:f>
      </x:c>
      <x:c r="N215" s="330">
        <x:f>IF(OR(H215&lt;=Différé,H215&gt;NoEchMaxi),IF(DiffTotal,-M215,0),IF(H215&gt;=NoEchRemb,L215,IF(S215-(M215*EchFIXE)&gt;L215-2,L215,S215-(M215*EchFIXE))))+C215</x:f>
      </x:c>
      <x:c r="O215" s="332">
        <x:f>IF(OR(L215=0,H215&gt;NoEchMaxi),0,ROUND(FraisF+FraisV*L215,NbDeci))+F215</x:f>
      </x:c>
      <x:c r="P215" s="342">
        <x:f>SUM(M215:O215)</x:f>
      </x:c>
      <x:c r="Q215" s="0"/>
      <x:c r="R215" s="71">
        <x:f>IF(B215&gt;0,IF(TauxActuariel,((B215+1)^(1/NbEchAn))-1,B215/NbEchAn),R214)</x:f>
      </x:c>
      <x:c r="S215" s="70">
        <x:f>IF(E215&gt;0,E215,IF(D215&gt;0,IF(AND(EchFIXE,R215&gt;0),ROUND((L215-C215)*R215/(1-((1+R215)^-D215)),NbDeci),ROUND(L215/D215,NbDeci)),S214))</x:f>
      </x:c>
    </x:row>
    <x:row r="216" spans="1:31" x14ac:dyDescent="0.2">
      <x:c r="B216" s="334"/>
      <x:c r="C216" s="335"/>
      <x:c r="D216" s="336"/>
      <x:c r="E216" s="337"/>
      <x:c r="F216" s="338"/>
      <x:c r="H216" s="327">
        <x:f>IF(L216=0,"",H215+1)</x:f>
      </x:c>
      <x:c r="I216" s="328">
        <x:f>IF(L216&gt;0,NbEch+Différé+1-H216,"")</x:f>
      </x:c>
      <x:c r="J216" s="339">
        <x:f>IF(ISNUMBER(K216),YEAR(K216),"")</x:f>
      </x:c>
      <x:c r="K216" s="340">
        <x:f>IF(L216=0,"",IF(Ijour=0,MIN(DATE(YEAR(DebAmort),MONTH(DebAmort)+MoisD+(H216-1)*Imois,Jour2),DATE(YEAR(DebAmort),MONTH(DebAmort)+MoisD+1+(H216-1)*Imois,0)),DATE(YEAR(DebAmort),MONTH(DebAmort),Jour1+(H216-1)*Ijour)))</x:f>
      </x:c>
      <x:c r="L216" s="341">
        <x:f>L215-N215</x:f>
      </x:c>
      <x:c r="M216" s="331">
        <x:f>IF(H216&lt;=NoEchMaxi,ROUND(L216*R216,NbDeci),0)</x:f>
      </x:c>
      <x:c r="N216" s="330">
        <x:f>IF(OR(H216&lt;=Différé,H216&gt;NoEchMaxi),IF(DiffTotal,-M216,0),IF(H216&gt;=NoEchRemb,L216,IF(S216-(M216*EchFIXE)&gt;L216-2,L216,S216-(M216*EchFIXE))))+C216</x:f>
      </x:c>
      <x:c r="O216" s="332">
        <x:f>IF(OR(L216=0,H216&gt;NoEchMaxi),0,ROUND(FraisF+FraisV*L216,NbDeci))+F216</x:f>
      </x:c>
      <x:c r="P216" s="342">
        <x:f>SUM(M216:O216)</x:f>
      </x:c>
      <x:c r="Q216" s="0"/>
      <x:c r="R216" s="71">
        <x:f>IF(B216&gt;0,IF(TauxActuariel,((B216+1)^(1/NbEchAn))-1,B216/NbEchAn),R215)</x:f>
      </x:c>
      <x:c r="S216" s="70">
        <x:f>IF(E216&gt;0,E216,IF(D216&gt;0,IF(AND(EchFIXE,R216&gt;0),ROUND((L216-C216)*R216/(1-((1+R216)^-D216)),NbDeci),ROUND(L216/D216,NbDeci)),S215))</x:f>
      </x:c>
    </x:row>
    <x:row r="217" spans="1:31" x14ac:dyDescent="0.2">
      <x:c r="B217" s="334"/>
      <x:c r="C217" s="335"/>
      <x:c r="D217" s="336"/>
      <x:c r="E217" s="337"/>
      <x:c r="F217" s="338"/>
      <x:c r="H217" s="327">
        <x:f>IF(L217=0,"",H216+1)</x:f>
      </x:c>
      <x:c r="I217" s="328">
        <x:f>IF(L217&gt;0,NbEch+Différé+1-H217,"")</x:f>
      </x:c>
      <x:c r="J217" s="339">
        <x:f>IF(ISNUMBER(K217),YEAR(K217),"")</x:f>
      </x:c>
      <x:c r="K217" s="340">
        <x:f>IF(L217=0,"",IF(Ijour=0,MIN(DATE(YEAR(DebAmort),MONTH(DebAmort)+(H217-1)*Imois,Jour1),DATE(YEAR(DebAmort),MONTH(DebAmort)+1+(H217-1)*Imois,0)),DATE(YEAR(DebAmort),MONTH(DebAmort),Jour1+(H217-1)*Ijour)))</x:f>
      </x:c>
      <x:c r="L217" s="341">
        <x:f>L216-N216</x:f>
      </x:c>
      <x:c r="M217" s="331">
        <x:f>IF(H217&lt;=NoEchMaxi,ROUND(L217*R217,NbDeci),0)</x:f>
      </x:c>
      <x:c r="N217" s="330">
        <x:f>IF(OR(H217&lt;=Différé,H217&gt;NoEchMaxi),IF(DiffTotal,-M217,0),IF(H217&gt;=NoEchRemb,L217,IF(S217-(M217*EchFIXE)&gt;L217-2,L217,S217-(M217*EchFIXE))))+C217</x:f>
      </x:c>
      <x:c r="O217" s="332">
        <x:f>IF(OR(L217=0,H217&gt;NoEchMaxi),0,ROUND(FraisF+FraisV*L217,NbDeci))+F217</x:f>
      </x:c>
      <x:c r="P217" s="342">
        <x:f>SUM(M217:O217)</x:f>
      </x:c>
      <x:c r="Q217" s="0"/>
      <x:c r="R217" s="71">
        <x:f>IF(B217&gt;0,IF(TauxActuariel,((B217+1)^(1/NbEchAn))-1,B217/NbEchAn),R216)</x:f>
      </x:c>
      <x:c r="S217" s="70">
        <x:f>IF(E217&gt;0,E217,IF(D217&gt;0,IF(AND(EchFIXE,R217&gt;0),ROUND((L217-C217)*R217/(1-((1+R217)^-D217)),NbDeci),ROUND(L217/D217,NbDeci)),S216))</x:f>
      </x:c>
    </x:row>
    <x:row r="218" spans="1:31" x14ac:dyDescent="0.2">
      <x:c r="B218" s="334"/>
      <x:c r="C218" s="335"/>
      <x:c r="D218" s="336"/>
      <x:c r="E218" s="337"/>
      <x:c r="F218" s="338"/>
      <x:c r="H218" s="327">
        <x:f>IF(L218=0,"",H217+1)</x:f>
      </x:c>
      <x:c r="I218" s="328">
        <x:f>IF(L218&gt;0,NbEch+Différé+1-H218,"")</x:f>
      </x:c>
      <x:c r="J218" s="339">
        <x:f>IF(ISNUMBER(K218),YEAR(K218),"")</x:f>
      </x:c>
      <x:c r="K218" s="340">
        <x:f>IF(L218=0,"",IF(Ijour=0,MIN(DATE(YEAR(DebAmort),MONTH(DebAmort)+MoisD+(H218-1)*Imois,Jour2),DATE(YEAR(DebAmort),MONTH(DebAmort)+MoisD+1+(H218-1)*Imois,0)),DATE(YEAR(DebAmort),MONTH(DebAmort),Jour1+(H218-1)*Ijour)))</x:f>
      </x:c>
      <x:c r="L218" s="341">
        <x:f>L217-N217</x:f>
      </x:c>
      <x:c r="M218" s="331">
        <x:f>IF(H218&lt;=NoEchMaxi,ROUND(L218*R218,NbDeci),0)</x:f>
      </x:c>
      <x:c r="N218" s="330">
        <x:f>IF(OR(H218&lt;=Différé,H218&gt;NoEchMaxi),IF(DiffTotal,-M218,0),IF(H218&gt;=NoEchRemb,L218,IF(S218-(M218*EchFIXE)&gt;L218-2,L218,S218-(M218*EchFIXE))))+C218</x:f>
      </x:c>
      <x:c r="O218" s="332">
        <x:f>IF(OR(L218=0,H218&gt;NoEchMaxi),0,ROUND(FraisF+FraisV*L218,NbDeci))+F218</x:f>
      </x:c>
      <x:c r="P218" s="342">
        <x:f>SUM(M218:O218)</x:f>
      </x:c>
      <x:c r="Q218" s="0"/>
      <x:c r="R218" s="71">
        <x:f>IF(B218&gt;0,IF(TauxActuariel,((B218+1)^(1/NbEchAn))-1,B218/NbEchAn),R217)</x:f>
      </x:c>
      <x:c r="S218" s="70">
        <x:f>IF(E218&gt;0,E218,IF(D218&gt;0,IF(AND(EchFIXE,R218&gt;0),ROUND((L218-C218)*R218/(1-((1+R218)^-D218)),NbDeci),ROUND(L218/D218,NbDeci)),S217))</x:f>
      </x:c>
    </x:row>
    <x:row r="219" spans="1:31" x14ac:dyDescent="0.2">
      <x:c r="B219" s="334"/>
      <x:c r="C219" s="335"/>
      <x:c r="D219" s="336"/>
      <x:c r="E219" s="337"/>
      <x:c r="F219" s="338"/>
      <x:c r="H219" s="327">
        <x:f>IF(L219=0,"",H218+1)</x:f>
      </x:c>
      <x:c r="I219" s="328">
        <x:f>IF(L219&gt;0,NbEch+Différé+1-H219,"")</x:f>
      </x:c>
      <x:c r="J219" s="339">
        <x:f>IF(ISNUMBER(K219),YEAR(K219),"")</x:f>
      </x:c>
      <x:c r="K219" s="340">
        <x:f>IF(L219=0,"",IF(Ijour=0,MIN(DATE(YEAR(DebAmort),MONTH(DebAmort)+(H219-1)*Imois,Jour1),DATE(YEAR(DebAmort),MONTH(DebAmort)+1+(H219-1)*Imois,0)),DATE(YEAR(DebAmort),MONTH(DebAmort),Jour1+(H219-1)*Ijour)))</x:f>
      </x:c>
      <x:c r="L219" s="341">
        <x:f>L218-N218</x:f>
      </x:c>
      <x:c r="M219" s="331">
        <x:f>IF(H219&lt;=NoEchMaxi,ROUND(L219*R219,NbDeci),0)</x:f>
      </x:c>
      <x:c r="N219" s="330">
        <x:f>IF(OR(H219&lt;=Différé,H219&gt;NoEchMaxi),IF(DiffTotal,-M219,0),IF(H219&gt;=NoEchRemb,L219,IF(S219-(M219*EchFIXE)&gt;L219-2,L219,S219-(M219*EchFIXE))))+C219</x:f>
      </x:c>
      <x:c r="O219" s="332">
        <x:f>IF(OR(L219=0,H219&gt;NoEchMaxi),0,ROUND(FraisF+FraisV*L219,NbDeci))+F219</x:f>
      </x:c>
      <x:c r="P219" s="342">
        <x:f>SUM(M219:O219)</x:f>
      </x:c>
      <x:c r="Q219" s="0"/>
      <x:c r="R219" s="71">
        <x:f>IF(B219&gt;0,IF(TauxActuariel,((B219+1)^(1/NbEchAn))-1,B219/NbEchAn),R218)</x:f>
      </x:c>
      <x:c r="S219" s="70">
        <x:f>IF(E219&gt;0,E219,IF(D219&gt;0,IF(AND(EchFIXE,R219&gt;0),ROUND((L219-C219)*R219/(1-((1+R219)^-D219)),NbDeci),ROUND(L219/D219,NbDeci)),S218))</x:f>
      </x:c>
    </x:row>
    <x:row r="220" spans="1:31" x14ac:dyDescent="0.2">
      <x:c r="B220" s="334"/>
      <x:c r="C220" s="335"/>
      <x:c r="D220" s="336"/>
      <x:c r="E220" s="337"/>
      <x:c r="F220" s="338"/>
      <x:c r="H220" s="327">
        <x:f>IF(L220=0,"",H219+1)</x:f>
      </x:c>
      <x:c r="I220" s="328">
        <x:f>IF(L220&gt;0,NbEch+Différé+1-H220,"")</x:f>
      </x:c>
      <x:c r="J220" s="339">
        <x:f>IF(ISNUMBER(K220),YEAR(K220),"")</x:f>
      </x:c>
      <x:c r="K220" s="340">
        <x:f>IF(L220=0,"",IF(Ijour=0,MIN(DATE(YEAR(DebAmort),MONTH(DebAmort)+MoisD+(H220-1)*Imois,Jour2),DATE(YEAR(DebAmort),MONTH(DebAmort)+MoisD+1+(H220-1)*Imois,0)),DATE(YEAR(DebAmort),MONTH(DebAmort),Jour1+(H220-1)*Ijour)))</x:f>
      </x:c>
      <x:c r="L220" s="341">
        <x:f>L219-N219</x:f>
      </x:c>
      <x:c r="M220" s="331">
        <x:f>IF(H220&lt;=NoEchMaxi,ROUND(L220*R220,NbDeci),0)</x:f>
      </x:c>
      <x:c r="N220" s="330">
        <x:f>IF(OR(H220&lt;=Différé,H220&gt;NoEchMaxi),IF(DiffTotal,-M220,0),IF(H220&gt;=NoEchRemb,L220,IF(S220-(M220*EchFIXE)&gt;L220-2,L220,S220-(M220*EchFIXE))))+C220</x:f>
      </x:c>
      <x:c r="O220" s="332">
        <x:f>IF(OR(L220=0,H220&gt;NoEchMaxi),0,ROUND(FraisF+FraisV*L220,NbDeci))+F220</x:f>
      </x:c>
      <x:c r="P220" s="342">
        <x:f>SUM(M220:O220)</x:f>
      </x:c>
      <x:c r="Q220" s="0"/>
      <x:c r="R220" s="71">
        <x:f>IF(B220&gt;0,IF(TauxActuariel,((B220+1)^(1/NbEchAn))-1,B220/NbEchAn),R219)</x:f>
      </x:c>
      <x:c r="S220" s="70">
        <x:f>IF(E220&gt;0,E220,IF(D220&gt;0,IF(AND(EchFIXE,R220&gt;0),ROUND((L220-C220)*R220/(1-((1+R220)^-D220)),NbDeci),ROUND(L220/D220,NbDeci)),S219))</x:f>
      </x:c>
    </x:row>
    <x:row r="221" spans="1:31" x14ac:dyDescent="0.2">
      <x:c r="B221" s="334"/>
      <x:c r="C221" s="335"/>
      <x:c r="D221" s="336"/>
      <x:c r="E221" s="337"/>
      <x:c r="F221" s="338"/>
      <x:c r="H221" s="327">
        <x:f>IF(L221=0,"",H220+1)</x:f>
      </x:c>
      <x:c r="I221" s="328">
        <x:f>IF(L221&gt;0,NbEch+Différé+1-H221,"")</x:f>
      </x:c>
      <x:c r="J221" s="339">
        <x:f>IF(ISNUMBER(K221),YEAR(K221),"")</x:f>
      </x:c>
      <x:c r="K221" s="340">
        <x:f>IF(L221=0,"",IF(Ijour=0,MIN(DATE(YEAR(DebAmort),MONTH(DebAmort)+(H221-1)*Imois,Jour1),DATE(YEAR(DebAmort),MONTH(DebAmort)+1+(H221-1)*Imois,0)),DATE(YEAR(DebAmort),MONTH(DebAmort),Jour1+(H221-1)*Ijour)))</x:f>
      </x:c>
      <x:c r="L221" s="341">
        <x:f>L220-N220</x:f>
      </x:c>
      <x:c r="M221" s="331">
        <x:f>IF(H221&lt;=NoEchMaxi,ROUND(L221*R221,NbDeci),0)</x:f>
      </x:c>
      <x:c r="N221" s="330">
        <x:f>IF(OR(H221&lt;=Différé,H221&gt;NoEchMaxi),IF(DiffTotal,-M221,0),IF(H221&gt;=NoEchRemb,L221,IF(S221-(M221*EchFIXE)&gt;L221-2,L221,S221-(M221*EchFIXE))))+C221</x:f>
      </x:c>
      <x:c r="O221" s="332">
        <x:f>IF(OR(L221=0,H221&gt;NoEchMaxi),0,ROUND(FraisF+FraisV*L221,NbDeci))+F221</x:f>
      </x:c>
      <x:c r="P221" s="342">
        <x:f>SUM(M221:O221)</x:f>
      </x:c>
      <x:c r="Q221" s="0"/>
      <x:c r="R221" s="71">
        <x:f>IF(B221&gt;0,IF(TauxActuariel,((B221+1)^(1/NbEchAn))-1,B221/NbEchAn),R220)</x:f>
      </x:c>
      <x:c r="S221" s="70">
        <x:f>IF(E221&gt;0,E221,IF(D221&gt;0,IF(AND(EchFIXE,R221&gt;0),ROUND((L221-C221)*R221/(1-((1+R221)^-D221)),NbDeci),ROUND(L221/D221,NbDeci)),S220))</x:f>
      </x:c>
    </x:row>
    <x:row r="222" spans="1:31" x14ac:dyDescent="0.2">
      <x:c r="B222" s="334"/>
      <x:c r="C222" s="335"/>
      <x:c r="D222" s="336"/>
      <x:c r="E222" s="337"/>
      <x:c r="F222" s="338"/>
      <x:c r="H222" s="327">
        <x:f>IF(L222=0,"",H221+1)</x:f>
      </x:c>
      <x:c r="I222" s="328">
        <x:f>IF(L222&gt;0,NbEch+Différé+1-H222,"")</x:f>
      </x:c>
      <x:c r="J222" s="339">
        <x:f>IF(ISNUMBER(K222),YEAR(K222),"")</x:f>
      </x:c>
      <x:c r="K222" s="340">
        <x:f>IF(L222=0,"",IF(Ijour=0,MIN(DATE(YEAR(DebAmort),MONTH(DebAmort)+MoisD+(H222-1)*Imois,Jour2),DATE(YEAR(DebAmort),MONTH(DebAmort)+MoisD+1+(H222-1)*Imois,0)),DATE(YEAR(DebAmort),MONTH(DebAmort),Jour1+(H222-1)*Ijour)))</x:f>
      </x:c>
      <x:c r="L222" s="341">
        <x:f>L221-N221</x:f>
      </x:c>
      <x:c r="M222" s="331">
        <x:f>IF(H222&lt;=NoEchMaxi,ROUND(L222*R222,NbDeci),0)</x:f>
      </x:c>
      <x:c r="N222" s="330">
        <x:f>IF(OR(H222&lt;=Différé,H222&gt;NoEchMaxi),IF(DiffTotal,-M222,0),IF(H222&gt;=NoEchRemb,L222,IF(S222-(M222*EchFIXE)&gt;L222-2,L222,S222-(M222*EchFIXE))))+C222</x:f>
      </x:c>
      <x:c r="O222" s="332">
        <x:f>IF(OR(L222=0,H222&gt;NoEchMaxi),0,ROUND(FraisF+FraisV*L222,NbDeci))+F222</x:f>
      </x:c>
      <x:c r="P222" s="342">
        <x:f>SUM(M222:O222)</x:f>
      </x:c>
      <x:c r="Q222" s="0"/>
      <x:c r="R222" s="71">
        <x:f>IF(B222&gt;0,IF(TauxActuariel,((B222+1)^(1/NbEchAn))-1,B222/NbEchAn),R221)</x:f>
      </x:c>
      <x:c r="S222" s="70">
        <x:f>IF(E222&gt;0,E222,IF(D222&gt;0,IF(AND(EchFIXE,R222&gt;0),ROUND((L222-C222)*R222/(1-((1+R222)^-D222)),NbDeci),ROUND(L222/D222,NbDeci)),S221))</x:f>
      </x:c>
    </x:row>
    <x:row r="223" spans="1:31" x14ac:dyDescent="0.2">
      <x:c r="B223" s="334"/>
      <x:c r="C223" s="335"/>
      <x:c r="D223" s="336"/>
      <x:c r="E223" s="337"/>
      <x:c r="F223" s="338"/>
      <x:c r="H223" s="327">
        <x:f>IF(L223=0,"",H222+1)</x:f>
      </x:c>
      <x:c r="I223" s="328">
        <x:f>IF(L223&gt;0,NbEch+Différé+1-H223,"")</x:f>
      </x:c>
      <x:c r="J223" s="339">
        <x:f>IF(ISNUMBER(K223),YEAR(K223),"")</x:f>
      </x:c>
      <x:c r="K223" s="340">
        <x:f>IF(L223=0,"",IF(Ijour=0,MIN(DATE(YEAR(DebAmort),MONTH(DebAmort)+(H223-1)*Imois,Jour1),DATE(YEAR(DebAmort),MONTH(DebAmort)+1+(H223-1)*Imois,0)),DATE(YEAR(DebAmort),MONTH(DebAmort),Jour1+(H223-1)*Ijour)))</x:f>
      </x:c>
      <x:c r="L223" s="341">
        <x:f>L222-N222</x:f>
      </x:c>
      <x:c r="M223" s="331">
        <x:f>IF(H223&lt;=NoEchMaxi,ROUND(L223*R223,NbDeci),0)</x:f>
      </x:c>
      <x:c r="N223" s="330">
        <x:f>IF(OR(H223&lt;=Différé,H223&gt;NoEchMaxi),IF(DiffTotal,-M223,0),IF(H223&gt;=NoEchRemb,L223,IF(S223-(M223*EchFIXE)&gt;L223-2,L223,S223-(M223*EchFIXE))))+C223</x:f>
      </x:c>
      <x:c r="O223" s="332">
        <x:f>IF(OR(L223=0,H223&gt;NoEchMaxi),0,ROUND(FraisF+FraisV*L223,NbDeci))+F223</x:f>
      </x:c>
      <x:c r="P223" s="342">
        <x:f>SUM(M223:O223)</x:f>
      </x:c>
      <x:c r="Q223" s="0"/>
      <x:c r="R223" s="71">
        <x:f>IF(B223&gt;0,IF(TauxActuariel,((B223+1)^(1/NbEchAn))-1,B223/NbEchAn),R222)</x:f>
      </x:c>
      <x:c r="S223" s="70">
        <x:f>IF(E223&gt;0,E223,IF(D223&gt;0,IF(AND(EchFIXE,R223&gt;0),ROUND((L223-C223)*R223/(1-((1+R223)^-D223)),NbDeci),ROUND(L223/D223,NbDeci)),S222))</x:f>
      </x:c>
    </x:row>
    <x:row r="224" spans="1:31" x14ac:dyDescent="0.2">
      <x:c r="B224" s="334"/>
      <x:c r="C224" s="335"/>
      <x:c r="D224" s="336"/>
      <x:c r="E224" s="337"/>
      <x:c r="F224" s="338"/>
      <x:c r="H224" s="327">
        <x:f>IF(L224=0,"",H223+1)</x:f>
      </x:c>
      <x:c r="I224" s="328">
        <x:f>IF(L224&gt;0,NbEch+Différé+1-H224,"")</x:f>
      </x:c>
      <x:c r="J224" s="339">
        <x:f>IF(ISNUMBER(K224),YEAR(K224),"")</x:f>
      </x:c>
      <x:c r="K224" s="340">
        <x:f>IF(L224=0,"",IF(Ijour=0,MIN(DATE(YEAR(DebAmort),MONTH(DebAmort)+MoisD+(H224-1)*Imois,Jour2),DATE(YEAR(DebAmort),MONTH(DebAmort)+MoisD+1+(H224-1)*Imois,0)),DATE(YEAR(DebAmort),MONTH(DebAmort),Jour1+(H224-1)*Ijour)))</x:f>
      </x:c>
      <x:c r="L224" s="341">
        <x:f>L223-N223</x:f>
      </x:c>
      <x:c r="M224" s="331">
        <x:f>IF(H224&lt;=NoEchMaxi,ROUND(L224*R224,NbDeci),0)</x:f>
      </x:c>
      <x:c r="N224" s="330">
        <x:f>IF(OR(H224&lt;=Différé,H224&gt;NoEchMaxi),IF(DiffTotal,-M224,0),IF(H224&gt;=NoEchRemb,L224,IF(S224-(M224*EchFIXE)&gt;L224-2,L224,S224-(M224*EchFIXE))))+C224</x:f>
      </x:c>
      <x:c r="O224" s="332">
        <x:f>IF(OR(L224=0,H224&gt;NoEchMaxi),0,ROUND(FraisF+FraisV*L224,NbDeci))+F224</x:f>
      </x:c>
      <x:c r="P224" s="342">
        <x:f>SUM(M224:O224)</x:f>
      </x:c>
      <x:c r="Q224" s="0"/>
      <x:c r="R224" s="71">
        <x:f>IF(B224&gt;0,IF(TauxActuariel,((B224+1)^(1/NbEchAn))-1,B224/NbEchAn),R223)</x:f>
      </x:c>
      <x:c r="S224" s="70">
        <x:f>IF(E224&gt;0,E224,IF(D224&gt;0,IF(AND(EchFIXE,R224&gt;0),ROUND((L224-C224)*R224/(1-((1+R224)^-D224)),NbDeci),ROUND(L224/D224,NbDeci)),S223))</x:f>
      </x:c>
    </x:row>
    <x:row r="225" spans="1:31" x14ac:dyDescent="0.2">
      <x:c r="B225" s="334"/>
      <x:c r="C225" s="335"/>
      <x:c r="D225" s="336"/>
      <x:c r="E225" s="337"/>
      <x:c r="F225" s="338"/>
      <x:c r="H225" s="327">
        <x:f>IF(L225=0,"",H224+1)</x:f>
      </x:c>
      <x:c r="I225" s="328">
        <x:f>IF(L225&gt;0,NbEch+Différé+1-H225,"")</x:f>
      </x:c>
      <x:c r="J225" s="339">
        <x:f>IF(ISNUMBER(K225),YEAR(K225),"")</x:f>
      </x:c>
      <x:c r="K225" s="340">
        <x:f>IF(L225=0,"",IF(Ijour=0,MIN(DATE(YEAR(DebAmort),MONTH(DebAmort)+(H225-1)*Imois,Jour1),DATE(YEAR(DebAmort),MONTH(DebAmort)+1+(H225-1)*Imois,0)),DATE(YEAR(DebAmort),MONTH(DebAmort),Jour1+(H225-1)*Ijour)))</x:f>
      </x:c>
      <x:c r="L225" s="341">
        <x:f>L224-N224</x:f>
      </x:c>
      <x:c r="M225" s="331">
        <x:f>IF(H225&lt;=NoEchMaxi,ROUND(L225*R225,NbDeci),0)</x:f>
      </x:c>
      <x:c r="N225" s="330">
        <x:f>IF(OR(H225&lt;=Différé,H225&gt;NoEchMaxi),IF(DiffTotal,-M225,0),IF(H225&gt;=NoEchRemb,L225,IF(S225-(M225*EchFIXE)&gt;L225-2,L225,S225-(M225*EchFIXE))))+C225</x:f>
      </x:c>
      <x:c r="O225" s="332">
        <x:f>IF(OR(L225=0,H225&gt;NoEchMaxi),0,ROUND(FraisF+FraisV*L225,NbDeci))+F225</x:f>
      </x:c>
      <x:c r="P225" s="342">
        <x:f>SUM(M225:O225)</x:f>
      </x:c>
      <x:c r="Q225" s="0"/>
      <x:c r="R225" s="71">
        <x:f>IF(B225&gt;0,IF(TauxActuariel,((B225+1)^(1/NbEchAn))-1,B225/NbEchAn),R224)</x:f>
      </x:c>
      <x:c r="S225" s="70">
        <x:f>IF(E225&gt;0,E225,IF(D225&gt;0,IF(AND(EchFIXE,R225&gt;0),ROUND((L225-C225)*R225/(1-((1+R225)^-D225)),NbDeci),ROUND(L225/D225,NbDeci)),S224))</x:f>
      </x:c>
    </x:row>
    <x:row r="226" spans="1:31" x14ac:dyDescent="0.2">
      <x:c r="B226" s="334"/>
      <x:c r="C226" s="335"/>
      <x:c r="D226" s="336"/>
      <x:c r="E226" s="337"/>
      <x:c r="F226" s="338"/>
      <x:c r="H226" s="327">
        <x:f>IF(L226=0,"",H225+1)</x:f>
      </x:c>
      <x:c r="I226" s="328">
        <x:f>IF(L226&gt;0,NbEch+Différé+1-H226,"")</x:f>
      </x:c>
      <x:c r="J226" s="339">
        <x:f>IF(ISNUMBER(K226),YEAR(K226),"")</x:f>
      </x:c>
      <x:c r="K226" s="340">
        <x:f>IF(L226=0,"",IF(Ijour=0,MIN(DATE(YEAR(DebAmort),MONTH(DebAmort)+MoisD+(H226-1)*Imois,Jour2),DATE(YEAR(DebAmort),MONTH(DebAmort)+MoisD+1+(H226-1)*Imois,0)),DATE(YEAR(DebAmort),MONTH(DebAmort),Jour1+(H226-1)*Ijour)))</x:f>
      </x:c>
      <x:c r="L226" s="341">
        <x:f>L225-N225</x:f>
      </x:c>
      <x:c r="M226" s="331">
        <x:f>IF(H226&lt;=NoEchMaxi,ROUND(L226*R226,NbDeci),0)</x:f>
      </x:c>
      <x:c r="N226" s="330">
        <x:f>IF(OR(H226&lt;=Différé,H226&gt;NoEchMaxi),IF(DiffTotal,-M226,0),IF(H226&gt;=NoEchRemb,L226,IF(S226-(M226*EchFIXE)&gt;L226-2,L226,S226-(M226*EchFIXE))))+C226</x:f>
      </x:c>
      <x:c r="O226" s="332">
        <x:f>IF(OR(L226=0,H226&gt;NoEchMaxi),0,ROUND(FraisF+FraisV*L226,NbDeci))+F226</x:f>
      </x:c>
      <x:c r="P226" s="342">
        <x:f>SUM(M226:O226)</x:f>
      </x:c>
      <x:c r="Q226" s="0"/>
      <x:c r="R226" s="71">
        <x:f>IF(B226&gt;0,IF(TauxActuariel,((B226+1)^(1/NbEchAn))-1,B226/NbEchAn),R225)</x:f>
      </x:c>
      <x:c r="S226" s="70">
        <x:f>IF(E226&gt;0,E226,IF(D226&gt;0,IF(AND(EchFIXE,R226&gt;0),ROUND((L226-C226)*R226/(1-((1+R226)^-D226)),NbDeci),ROUND(L226/D226,NbDeci)),S225))</x:f>
      </x:c>
    </x:row>
    <x:row r="227" spans="1:31" x14ac:dyDescent="0.2">
      <x:c r="B227" s="334"/>
      <x:c r="C227" s="335"/>
      <x:c r="D227" s="336"/>
      <x:c r="E227" s="337"/>
      <x:c r="F227" s="338"/>
      <x:c r="H227" s="327">
        <x:f>IF(L227=0,"",H226+1)</x:f>
      </x:c>
      <x:c r="I227" s="328">
        <x:f>IF(L227&gt;0,NbEch+Différé+1-H227,"")</x:f>
      </x:c>
      <x:c r="J227" s="339">
        <x:f>IF(ISNUMBER(K227),YEAR(K227),"")</x:f>
      </x:c>
      <x:c r="K227" s="340">
        <x:f>IF(L227=0,"",IF(Ijour=0,MIN(DATE(YEAR(DebAmort),MONTH(DebAmort)+(H227-1)*Imois,Jour1),DATE(YEAR(DebAmort),MONTH(DebAmort)+1+(H227-1)*Imois,0)),DATE(YEAR(DebAmort),MONTH(DebAmort),Jour1+(H227-1)*Ijour)))</x:f>
      </x:c>
      <x:c r="L227" s="341">
        <x:f>L226-N226</x:f>
      </x:c>
      <x:c r="M227" s="331">
        <x:f>IF(H227&lt;=NoEchMaxi,ROUND(L227*R227,NbDeci),0)</x:f>
      </x:c>
      <x:c r="N227" s="330">
        <x:f>IF(OR(H227&lt;=Différé,H227&gt;NoEchMaxi),IF(DiffTotal,-M227,0),IF(H227&gt;=NoEchRemb,L227,IF(S227-(M227*EchFIXE)&gt;L227-2,L227,S227-(M227*EchFIXE))))+C227</x:f>
      </x:c>
      <x:c r="O227" s="332">
        <x:f>IF(OR(L227=0,H227&gt;NoEchMaxi),0,ROUND(FraisF+FraisV*L227,NbDeci))+F227</x:f>
      </x:c>
      <x:c r="P227" s="342">
        <x:f>SUM(M227:O227)</x:f>
      </x:c>
      <x:c r="Q227" s="0"/>
      <x:c r="R227" s="71">
        <x:f>IF(B227&gt;0,IF(TauxActuariel,((B227+1)^(1/NbEchAn))-1,B227/NbEchAn),R226)</x:f>
      </x:c>
      <x:c r="S227" s="70">
        <x:f>IF(E227&gt;0,E227,IF(D227&gt;0,IF(AND(EchFIXE,R227&gt;0),ROUND((L227-C227)*R227/(1-((1+R227)^-D227)),NbDeci),ROUND(L227/D227,NbDeci)),S226))</x:f>
      </x:c>
    </x:row>
    <x:row r="228" spans="1:31" x14ac:dyDescent="0.2">
      <x:c r="B228" s="334"/>
      <x:c r="C228" s="335"/>
      <x:c r="D228" s="336"/>
      <x:c r="E228" s="337"/>
      <x:c r="F228" s="338"/>
      <x:c r="H228" s="327">
        <x:f>IF(L228=0,"",H227+1)</x:f>
      </x:c>
      <x:c r="I228" s="328">
        <x:f>IF(L228&gt;0,NbEch+Différé+1-H228,"")</x:f>
      </x:c>
      <x:c r="J228" s="339">
        <x:f>IF(ISNUMBER(K228),YEAR(K228),"")</x:f>
      </x:c>
      <x:c r="K228" s="340">
        <x:f>IF(L228=0,"",IF(Ijour=0,MIN(DATE(YEAR(DebAmort),MONTH(DebAmort)+MoisD+(H228-1)*Imois,Jour2),DATE(YEAR(DebAmort),MONTH(DebAmort)+MoisD+1+(H228-1)*Imois,0)),DATE(YEAR(DebAmort),MONTH(DebAmort),Jour1+(H228-1)*Ijour)))</x:f>
      </x:c>
      <x:c r="L228" s="341">
        <x:f>L227-N227</x:f>
      </x:c>
      <x:c r="M228" s="331">
        <x:f>IF(H228&lt;=NoEchMaxi,ROUND(L228*R228,NbDeci),0)</x:f>
      </x:c>
      <x:c r="N228" s="330">
        <x:f>IF(OR(H228&lt;=Différé,H228&gt;NoEchMaxi),IF(DiffTotal,-M228,0),IF(H228&gt;=NoEchRemb,L228,IF(S228-(M228*EchFIXE)&gt;L228-2,L228,S228-(M228*EchFIXE))))+C228</x:f>
      </x:c>
      <x:c r="O228" s="332">
        <x:f>IF(OR(L228=0,H228&gt;NoEchMaxi),0,ROUND(FraisF+FraisV*L228,NbDeci))+F228</x:f>
      </x:c>
      <x:c r="P228" s="342">
        <x:f>SUM(M228:O228)</x:f>
      </x:c>
      <x:c r="Q228" s="0"/>
      <x:c r="R228" s="71">
        <x:f>IF(B228&gt;0,IF(TauxActuariel,((B228+1)^(1/NbEchAn))-1,B228/NbEchAn),R227)</x:f>
      </x:c>
      <x:c r="S228" s="70">
        <x:f>IF(E228&gt;0,E228,IF(D228&gt;0,IF(AND(EchFIXE,R228&gt;0),ROUND((L228-C228)*R228/(1-((1+R228)^-D228)),NbDeci),ROUND(L228/D228,NbDeci)),S227))</x:f>
      </x:c>
    </x:row>
    <x:row r="229" spans="1:31" x14ac:dyDescent="0.2">
      <x:c r="B229" s="334"/>
      <x:c r="C229" s="335"/>
      <x:c r="D229" s="336"/>
      <x:c r="E229" s="337"/>
      <x:c r="F229" s="338"/>
      <x:c r="H229" s="327">
        <x:f>IF(L229=0,"",H228+1)</x:f>
      </x:c>
      <x:c r="I229" s="328">
        <x:f>IF(L229&gt;0,NbEch+Différé+1-H229,"")</x:f>
      </x:c>
      <x:c r="J229" s="339">
        <x:f>IF(ISNUMBER(K229),YEAR(K229),"")</x:f>
      </x:c>
      <x:c r="K229" s="340">
        <x:f>IF(L229=0,"",IF(Ijour=0,MIN(DATE(YEAR(DebAmort),MONTH(DebAmort)+(H229-1)*Imois,Jour1),DATE(YEAR(DebAmort),MONTH(DebAmort)+1+(H229-1)*Imois,0)),DATE(YEAR(DebAmort),MONTH(DebAmort),Jour1+(H229-1)*Ijour)))</x:f>
      </x:c>
      <x:c r="L229" s="341">
        <x:f>L228-N228</x:f>
      </x:c>
      <x:c r="M229" s="331">
        <x:f>IF(H229&lt;=NoEchMaxi,ROUND(L229*R229,NbDeci),0)</x:f>
      </x:c>
      <x:c r="N229" s="330">
        <x:f>IF(OR(H229&lt;=Différé,H229&gt;NoEchMaxi),IF(DiffTotal,-M229,0),IF(H229&gt;=NoEchRemb,L229,IF(S229-(M229*EchFIXE)&gt;L229-2,L229,S229-(M229*EchFIXE))))+C229</x:f>
      </x:c>
      <x:c r="O229" s="332">
        <x:f>IF(OR(L229=0,H229&gt;NoEchMaxi),0,ROUND(FraisF+FraisV*L229,NbDeci))+F229</x:f>
      </x:c>
      <x:c r="P229" s="342">
        <x:f>SUM(M229:O229)</x:f>
      </x:c>
      <x:c r="Q229" s="0"/>
      <x:c r="R229" s="71">
        <x:f>IF(B229&gt;0,IF(TauxActuariel,((B229+1)^(1/NbEchAn))-1,B229/NbEchAn),R228)</x:f>
      </x:c>
      <x:c r="S229" s="70">
        <x:f>IF(E229&gt;0,E229,IF(D229&gt;0,IF(AND(EchFIXE,R229&gt;0),ROUND((L229-C229)*R229/(1-((1+R229)^-D229)),NbDeci),ROUND(L229/D229,NbDeci)),S228))</x:f>
      </x:c>
    </x:row>
    <x:row r="230" spans="1:31" x14ac:dyDescent="0.2">
      <x:c r="B230" s="334"/>
      <x:c r="C230" s="335"/>
      <x:c r="D230" s="336"/>
      <x:c r="E230" s="337"/>
      <x:c r="F230" s="338"/>
      <x:c r="H230" s="327">
        <x:f>IF(L230=0,"",H229+1)</x:f>
      </x:c>
      <x:c r="I230" s="328">
        <x:f>IF(L230&gt;0,NbEch+Différé+1-H230,"")</x:f>
      </x:c>
      <x:c r="J230" s="339">
        <x:f>IF(ISNUMBER(K230),YEAR(K230),"")</x:f>
      </x:c>
      <x:c r="K230" s="340">
        <x:f>IF(L230=0,"",IF(Ijour=0,MIN(DATE(YEAR(DebAmort),MONTH(DebAmort)+MoisD+(H230-1)*Imois,Jour2),DATE(YEAR(DebAmort),MONTH(DebAmort)+MoisD+1+(H230-1)*Imois,0)),DATE(YEAR(DebAmort),MONTH(DebAmort),Jour1+(H230-1)*Ijour)))</x:f>
      </x:c>
      <x:c r="L230" s="341">
        <x:f>L229-N229</x:f>
      </x:c>
      <x:c r="M230" s="331">
        <x:f>IF(H230&lt;=NoEchMaxi,ROUND(L230*R230,NbDeci),0)</x:f>
      </x:c>
      <x:c r="N230" s="330">
        <x:f>IF(OR(H230&lt;=Différé,H230&gt;NoEchMaxi),IF(DiffTotal,-M230,0),IF(H230&gt;=NoEchRemb,L230,IF(S230-(M230*EchFIXE)&gt;L230-2,L230,S230-(M230*EchFIXE))))+C230</x:f>
      </x:c>
      <x:c r="O230" s="332">
        <x:f>IF(OR(L230=0,H230&gt;NoEchMaxi),0,ROUND(FraisF+FraisV*L230,NbDeci))+F230</x:f>
      </x:c>
      <x:c r="P230" s="342">
        <x:f>SUM(M230:O230)</x:f>
      </x:c>
      <x:c r="Q230" s="0"/>
      <x:c r="R230" s="71">
        <x:f>IF(B230&gt;0,IF(TauxActuariel,((B230+1)^(1/NbEchAn))-1,B230/NbEchAn),R229)</x:f>
      </x:c>
      <x:c r="S230" s="70">
        <x:f>IF(E230&gt;0,E230,IF(D230&gt;0,IF(AND(EchFIXE,R230&gt;0),ROUND((L230-C230)*R230/(1-((1+R230)^-D230)),NbDeci),ROUND(L230/D230,NbDeci)),S229))</x:f>
      </x:c>
    </x:row>
    <x:row r="231" spans="1:31" x14ac:dyDescent="0.2">
      <x:c r="B231" s="334"/>
      <x:c r="C231" s="335"/>
      <x:c r="D231" s="336"/>
      <x:c r="E231" s="337"/>
      <x:c r="F231" s="338"/>
      <x:c r="H231" s="327">
        <x:f>IF(L231=0,"",H230+1)</x:f>
      </x:c>
      <x:c r="I231" s="328">
        <x:f>IF(L231&gt;0,NbEch+Différé+1-H231,"")</x:f>
      </x:c>
      <x:c r="J231" s="339">
        <x:f>IF(ISNUMBER(K231),YEAR(K231),"")</x:f>
      </x:c>
      <x:c r="K231" s="340">
        <x:f>IF(L231=0,"",IF(Ijour=0,MIN(DATE(YEAR(DebAmort),MONTH(DebAmort)+(H231-1)*Imois,Jour1),DATE(YEAR(DebAmort),MONTH(DebAmort)+1+(H231-1)*Imois,0)),DATE(YEAR(DebAmort),MONTH(DebAmort),Jour1+(H231-1)*Ijour)))</x:f>
      </x:c>
      <x:c r="L231" s="341">
        <x:f>L230-N230</x:f>
      </x:c>
      <x:c r="M231" s="331">
        <x:f>IF(H231&lt;=NoEchMaxi,ROUND(L231*R231,NbDeci),0)</x:f>
      </x:c>
      <x:c r="N231" s="330">
        <x:f>IF(OR(H231&lt;=Différé,H231&gt;NoEchMaxi),IF(DiffTotal,-M231,0),IF(H231&gt;=NoEchRemb,L231,IF(S231-(M231*EchFIXE)&gt;L231-2,L231,S231-(M231*EchFIXE))))+C231</x:f>
      </x:c>
      <x:c r="O231" s="332">
        <x:f>IF(OR(L231=0,H231&gt;NoEchMaxi),0,ROUND(FraisF+FraisV*L231,NbDeci))+F231</x:f>
      </x:c>
      <x:c r="P231" s="342">
        <x:f>SUM(M231:O231)</x:f>
      </x:c>
      <x:c r="Q231" s="0"/>
      <x:c r="R231" s="71">
        <x:f>IF(B231&gt;0,IF(TauxActuariel,((B231+1)^(1/NbEchAn))-1,B231/NbEchAn),R230)</x:f>
      </x:c>
      <x:c r="S231" s="70">
        <x:f>IF(E231&gt;0,E231,IF(D231&gt;0,IF(AND(EchFIXE,R231&gt;0),ROUND((L231-C231)*R231/(1-((1+R231)^-D231)),NbDeci),ROUND(L231/D231,NbDeci)),S230))</x:f>
      </x:c>
    </x:row>
    <x:row r="232" spans="1:31" x14ac:dyDescent="0.2">
      <x:c r="B232" s="334"/>
      <x:c r="C232" s="335"/>
      <x:c r="D232" s="336"/>
      <x:c r="E232" s="337"/>
      <x:c r="F232" s="338"/>
      <x:c r="H232" s="327">
        <x:f>IF(L232=0,"",H231+1)</x:f>
      </x:c>
      <x:c r="I232" s="328">
        <x:f>IF(L232&gt;0,NbEch+Différé+1-H232,"")</x:f>
      </x:c>
      <x:c r="J232" s="339">
        <x:f>IF(ISNUMBER(K232),YEAR(K232),"")</x:f>
      </x:c>
      <x:c r="K232" s="340">
        <x:f>IF(L232=0,"",IF(Ijour=0,MIN(DATE(YEAR(DebAmort),MONTH(DebAmort)+MoisD+(H232-1)*Imois,Jour2),DATE(YEAR(DebAmort),MONTH(DebAmort)+MoisD+1+(H232-1)*Imois,0)),DATE(YEAR(DebAmort),MONTH(DebAmort),Jour1+(H232-1)*Ijour)))</x:f>
      </x:c>
      <x:c r="L232" s="341">
        <x:f>L231-N231</x:f>
      </x:c>
      <x:c r="M232" s="331">
        <x:f>IF(H232&lt;=NoEchMaxi,ROUND(L232*R232,NbDeci),0)</x:f>
      </x:c>
      <x:c r="N232" s="330">
        <x:f>IF(OR(H232&lt;=Différé,H232&gt;NoEchMaxi),IF(DiffTotal,-M232,0),IF(H232&gt;=NoEchRemb,L232,IF(S232-(M232*EchFIXE)&gt;L232-2,L232,S232-(M232*EchFIXE))))+C232</x:f>
      </x:c>
      <x:c r="O232" s="332">
        <x:f>IF(OR(L232=0,H232&gt;NoEchMaxi),0,ROUND(FraisF+FraisV*L232,NbDeci))+F232</x:f>
      </x:c>
      <x:c r="P232" s="342">
        <x:f>SUM(M232:O232)</x:f>
      </x:c>
      <x:c r="Q232" s="0"/>
      <x:c r="R232" s="71">
        <x:f>IF(B232&gt;0,IF(TauxActuariel,((B232+1)^(1/NbEchAn))-1,B232/NbEchAn),R231)</x:f>
      </x:c>
      <x:c r="S232" s="70">
        <x:f>IF(E232&gt;0,E232,IF(D232&gt;0,IF(AND(EchFIXE,R232&gt;0),ROUND((L232-C232)*R232/(1-((1+R232)^-D232)),NbDeci),ROUND(L232/D232,NbDeci)),S231))</x:f>
      </x:c>
    </x:row>
    <x:row r="233" spans="1:31" x14ac:dyDescent="0.2">
      <x:c r="B233" s="334"/>
      <x:c r="C233" s="335"/>
      <x:c r="D233" s="336"/>
      <x:c r="E233" s="337"/>
      <x:c r="F233" s="338"/>
      <x:c r="H233" s="327">
        <x:f>IF(L233=0,"",H232+1)</x:f>
      </x:c>
      <x:c r="I233" s="328">
        <x:f>IF(L233&gt;0,NbEch+Différé+1-H233,"")</x:f>
      </x:c>
      <x:c r="J233" s="339">
        <x:f>IF(ISNUMBER(K233),YEAR(K233),"")</x:f>
      </x:c>
      <x:c r="K233" s="340">
        <x:f>IF(L233=0,"",IF(Ijour=0,MIN(DATE(YEAR(DebAmort),MONTH(DebAmort)+(H233-1)*Imois,Jour1),DATE(YEAR(DebAmort),MONTH(DebAmort)+1+(H233-1)*Imois,0)),DATE(YEAR(DebAmort),MONTH(DebAmort),Jour1+(H233-1)*Ijour)))</x:f>
      </x:c>
      <x:c r="L233" s="341">
        <x:f>L232-N232</x:f>
      </x:c>
      <x:c r="M233" s="331">
        <x:f>IF(H233&lt;=NoEchMaxi,ROUND(L233*R233,NbDeci),0)</x:f>
      </x:c>
      <x:c r="N233" s="330">
        <x:f>IF(OR(H233&lt;=Différé,H233&gt;NoEchMaxi),IF(DiffTotal,-M233,0),IF(H233&gt;=NoEchRemb,L233,IF(S233-(M233*EchFIXE)&gt;L233-2,L233,S233-(M233*EchFIXE))))+C233</x:f>
      </x:c>
      <x:c r="O233" s="332">
        <x:f>IF(OR(L233=0,H233&gt;NoEchMaxi),0,ROUND(FraisF+FraisV*L233,NbDeci))+F233</x:f>
      </x:c>
      <x:c r="P233" s="342">
        <x:f>SUM(M233:O233)</x:f>
      </x:c>
      <x:c r="Q233" s="0"/>
      <x:c r="R233" s="71">
        <x:f>IF(B233&gt;0,IF(TauxActuariel,((B233+1)^(1/NbEchAn))-1,B233/NbEchAn),R232)</x:f>
      </x:c>
      <x:c r="S233" s="70">
        <x:f>IF(E233&gt;0,E233,IF(D233&gt;0,IF(AND(EchFIXE,R233&gt;0),ROUND((L233-C233)*R233/(1-((1+R233)^-D233)),NbDeci),ROUND(L233/D233,NbDeci)),S232))</x:f>
      </x:c>
    </x:row>
    <x:row r="234" spans="1:31" x14ac:dyDescent="0.2">
      <x:c r="B234" s="334"/>
      <x:c r="C234" s="335"/>
      <x:c r="D234" s="336"/>
      <x:c r="E234" s="337"/>
      <x:c r="F234" s="338"/>
      <x:c r="H234" s="327">
        <x:f>IF(L234=0,"",H233+1)</x:f>
      </x:c>
      <x:c r="I234" s="328">
        <x:f>IF(L234&gt;0,NbEch+Différé+1-H234,"")</x:f>
      </x:c>
      <x:c r="J234" s="339">
        <x:f>IF(ISNUMBER(K234),YEAR(K234),"")</x:f>
      </x:c>
      <x:c r="K234" s="340">
        <x:f>IF(L234=0,"",IF(Ijour=0,MIN(DATE(YEAR(DebAmort),MONTH(DebAmort)+MoisD+(H234-1)*Imois,Jour2),DATE(YEAR(DebAmort),MONTH(DebAmort)+MoisD+1+(H234-1)*Imois,0)),DATE(YEAR(DebAmort),MONTH(DebAmort),Jour1+(H234-1)*Ijour)))</x:f>
      </x:c>
      <x:c r="L234" s="341">
        <x:f>L233-N233</x:f>
      </x:c>
      <x:c r="M234" s="331">
        <x:f>IF(H234&lt;=NoEchMaxi,ROUND(L234*R234,NbDeci),0)</x:f>
      </x:c>
      <x:c r="N234" s="330">
        <x:f>IF(OR(H234&lt;=Différé,H234&gt;NoEchMaxi),IF(DiffTotal,-M234,0),IF(H234&gt;=NoEchRemb,L234,IF(S234-(M234*EchFIXE)&gt;L234-2,L234,S234-(M234*EchFIXE))))+C234</x:f>
      </x:c>
      <x:c r="O234" s="332">
        <x:f>IF(OR(L234=0,H234&gt;NoEchMaxi),0,ROUND(FraisF+FraisV*L234,NbDeci))+F234</x:f>
      </x:c>
      <x:c r="P234" s="342">
        <x:f>SUM(M234:O234)</x:f>
      </x:c>
      <x:c r="Q234" s="0"/>
      <x:c r="R234" s="71">
        <x:f>IF(B234&gt;0,IF(TauxActuariel,((B234+1)^(1/NbEchAn))-1,B234/NbEchAn),R233)</x:f>
      </x:c>
      <x:c r="S234" s="70">
        <x:f>IF(E234&gt;0,E234,IF(D234&gt;0,IF(AND(EchFIXE,R234&gt;0),ROUND((L234-C234)*R234/(1-((1+R234)^-D234)),NbDeci),ROUND(L234/D234,NbDeci)),S233))</x:f>
      </x:c>
    </x:row>
    <x:row r="235" spans="1:31" x14ac:dyDescent="0.2">
      <x:c r="B235" s="334"/>
      <x:c r="C235" s="335"/>
      <x:c r="D235" s="336"/>
      <x:c r="E235" s="337"/>
      <x:c r="F235" s="338"/>
      <x:c r="H235" s="327">
        <x:f>IF(L235=0,"",H234+1)</x:f>
      </x:c>
      <x:c r="I235" s="328">
        <x:f>IF(L235&gt;0,NbEch+Différé+1-H235,"")</x:f>
      </x:c>
      <x:c r="J235" s="339">
        <x:f>IF(ISNUMBER(K235),YEAR(K235),"")</x:f>
      </x:c>
      <x:c r="K235" s="340">
        <x:f>IF(L235=0,"",IF(Ijour=0,MIN(DATE(YEAR(DebAmort),MONTH(DebAmort)+(H235-1)*Imois,Jour1),DATE(YEAR(DebAmort),MONTH(DebAmort)+1+(H235-1)*Imois,0)),DATE(YEAR(DebAmort),MONTH(DebAmort),Jour1+(H235-1)*Ijour)))</x:f>
      </x:c>
      <x:c r="L235" s="341">
        <x:f>L234-N234</x:f>
      </x:c>
      <x:c r="M235" s="331">
        <x:f>IF(H235&lt;=NoEchMaxi,ROUND(L235*R235,NbDeci),0)</x:f>
      </x:c>
      <x:c r="N235" s="330">
        <x:f>IF(OR(H235&lt;=Différé,H235&gt;NoEchMaxi),IF(DiffTotal,-M235,0),IF(H235&gt;=NoEchRemb,L235,IF(S235-(M235*EchFIXE)&gt;L235-2,L235,S235-(M235*EchFIXE))))+C235</x:f>
      </x:c>
      <x:c r="O235" s="332">
        <x:f>IF(OR(L235=0,H235&gt;NoEchMaxi),0,ROUND(FraisF+FraisV*L235,NbDeci))+F235</x:f>
      </x:c>
      <x:c r="P235" s="342">
        <x:f>SUM(M235:O235)</x:f>
      </x:c>
      <x:c r="Q235" s="0"/>
      <x:c r="R235" s="71">
        <x:f>IF(B235&gt;0,IF(TauxActuariel,((B235+1)^(1/NbEchAn))-1,B235/NbEchAn),R234)</x:f>
      </x:c>
      <x:c r="S235" s="70">
        <x:f>IF(E235&gt;0,E235,IF(D235&gt;0,IF(AND(EchFIXE,R235&gt;0),ROUND((L235-C235)*R235/(1-((1+R235)^-D235)),NbDeci),ROUND(L235/D235,NbDeci)),S234))</x:f>
      </x:c>
    </x:row>
    <x:row r="236" spans="1:31" x14ac:dyDescent="0.2">
      <x:c r="B236" s="334"/>
      <x:c r="C236" s="335"/>
      <x:c r="D236" s="336"/>
      <x:c r="E236" s="337"/>
      <x:c r="F236" s="338"/>
      <x:c r="H236" s="327">
        <x:f>IF(L236=0,"",H235+1)</x:f>
      </x:c>
      <x:c r="I236" s="328">
        <x:f>IF(L236&gt;0,NbEch+Différé+1-H236,"")</x:f>
      </x:c>
      <x:c r="J236" s="339">
        <x:f>IF(ISNUMBER(K236),YEAR(K236),"")</x:f>
      </x:c>
      <x:c r="K236" s="340">
        <x:f>IF(L236=0,"",IF(Ijour=0,MIN(DATE(YEAR(DebAmort),MONTH(DebAmort)+MoisD+(H236-1)*Imois,Jour2),DATE(YEAR(DebAmort),MONTH(DebAmort)+MoisD+1+(H236-1)*Imois,0)),DATE(YEAR(DebAmort),MONTH(DebAmort),Jour1+(H236-1)*Ijour)))</x:f>
      </x:c>
      <x:c r="L236" s="341">
        <x:f>L235-N235</x:f>
      </x:c>
      <x:c r="M236" s="331">
        <x:f>IF(H236&lt;=NoEchMaxi,ROUND(L236*R236,NbDeci),0)</x:f>
      </x:c>
      <x:c r="N236" s="330">
        <x:f>IF(OR(H236&lt;=Différé,H236&gt;NoEchMaxi),IF(DiffTotal,-M236,0),IF(H236&gt;=NoEchRemb,L236,IF(S236-(M236*EchFIXE)&gt;L236-2,L236,S236-(M236*EchFIXE))))+C236</x:f>
      </x:c>
      <x:c r="O236" s="332">
        <x:f>IF(OR(L236=0,H236&gt;NoEchMaxi),0,ROUND(FraisF+FraisV*L236,NbDeci))+F236</x:f>
      </x:c>
      <x:c r="P236" s="342">
        <x:f>SUM(M236:O236)</x:f>
      </x:c>
      <x:c r="Q236" s="0"/>
      <x:c r="R236" s="71">
        <x:f>IF(B236&gt;0,IF(TauxActuariel,((B236+1)^(1/NbEchAn))-1,B236/NbEchAn),R235)</x:f>
      </x:c>
      <x:c r="S236" s="70">
        <x:f>IF(E236&gt;0,E236,IF(D236&gt;0,IF(AND(EchFIXE,R236&gt;0),ROUND((L236-C236)*R236/(1-((1+R236)^-D236)),NbDeci),ROUND(L236/D236,NbDeci)),S235))</x:f>
      </x:c>
    </x:row>
    <x:row r="237" spans="1:31" x14ac:dyDescent="0.2">
      <x:c r="B237" s="334"/>
      <x:c r="C237" s="335"/>
      <x:c r="D237" s="336"/>
      <x:c r="E237" s="337"/>
      <x:c r="F237" s="338"/>
      <x:c r="H237" s="327">
        <x:f>IF(L237=0,"",H236+1)</x:f>
      </x:c>
      <x:c r="I237" s="328">
        <x:f>IF(L237&gt;0,NbEch+Différé+1-H237,"")</x:f>
      </x:c>
      <x:c r="J237" s="339">
        <x:f>IF(ISNUMBER(K237),YEAR(K237),"")</x:f>
      </x:c>
      <x:c r="K237" s="340">
        <x:f>IF(L237=0,"",IF(Ijour=0,MIN(DATE(YEAR(DebAmort),MONTH(DebAmort)+(H237-1)*Imois,Jour1),DATE(YEAR(DebAmort),MONTH(DebAmort)+1+(H237-1)*Imois,0)),DATE(YEAR(DebAmort),MONTH(DebAmort),Jour1+(H237-1)*Ijour)))</x:f>
      </x:c>
      <x:c r="L237" s="341">
        <x:f>L236-N236</x:f>
      </x:c>
      <x:c r="M237" s="331">
        <x:f>IF(H237&lt;=NoEchMaxi,ROUND(L237*R237,NbDeci),0)</x:f>
      </x:c>
      <x:c r="N237" s="330">
        <x:f>IF(OR(H237&lt;=Différé,H237&gt;NoEchMaxi),IF(DiffTotal,-M237,0),IF(H237&gt;=NoEchRemb,L237,IF(S237-(M237*EchFIXE)&gt;L237-2,L237,S237-(M237*EchFIXE))))+C237</x:f>
      </x:c>
      <x:c r="O237" s="332">
        <x:f>IF(OR(L237=0,H237&gt;NoEchMaxi),0,ROUND(FraisF+FraisV*L237,NbDeci))+F237</x:f>
      </x:c>
      <x:c r="P237" s="342">
        <x:f>SUM(M237:O237)</x:f>
      </x:c>
      <x:c r="Q237" s="0"/>
      <x:c r="R237" s="71">
        <x:f>IF(B237&gt;0,IF(TauxActuariel,((B237+1)^(1/NbEchAn))-1,B237/NbEchAn),R236)</x:f>
      </x:c>
      <x:c r="S237" s="70">
        <x:f>IF(E237&gt;0,E237,IF(D237&gt;0,IF(AND(EchFIXE,R237&gt;0),ROUND((L237-C237)*R237/(1-((1+R237)^-D237)),NbDeci),ROUND(L237/D237,NbDeci)),S236))</x:f>
      </x:c>
    </x:row>
    <x:row r="238" spans="1:31" x14ac:dyDescent="0.2">
      <x:c r="B238" s="334"/>
      <x:c r="C238" s="335"/>
      <x:c r="D238" s="336"/>
      <x:c r="E238" s="337"/>
      <x:c r="F238" s="338"/>
      <x:c r="H238" s="327">
        <x:f>IF(L238=0,"",H237+1)</x:f>
      </x:c>
      <x:c r="I238" s="328">
        <x:f>IF(L238&gt;0,NbEch+Différé+1-H238,"")</x:f>
      </x:c>
      <x:c r="J238" s="339">
        <x:f>IF(ISNUMBER(K238),YEAR(K238),"")</x:f>
      </x:c>
      <x:c r="K238" s="340">
        <x:f>IF(L238=0,"",IF(Ijour=0,MIN(DATE(YEAR(DebAmort),MONTH(DebAmort)+MoisD+(H238-1)*Imois,Jour2),DATE(YEAR(DebAmort),MONTH(DebAmort)+MoisD+1+(H238-1)*Imois,0)),DATE(YEAR(DebAmort),MONTH(DebAmort),Jour1+(H238-1)*Ijour)))</x:f>
      </x:c>
      <x:c r="L238" s="341">
        <x:f>L237-N237</x:f>
      </x:c>
      <x:c r="M238" s="331">
        <x:f>IF(H238&lt;=NoEchMaxi,ROUND(L238*R238,NbDeci),0)</x:f>
      </x:c>
      <x:c r="N238" s="330">
        <x:f>IF(OR(H238&lt;=Différé,H238&gt;NoEchMaxi),IF(DiffTotal,-M238,0),IF(H238&gt;=NoEchRemb,L238,IF(S238-(M238*EchFIXE)&gt;L238-2,L238,S238-(M238*EchFIXE))))+C238</x:f>
      </x:c>
      <x:c r="O238" s="332">
        <x:f>IF(OR(L238=0,H238&gt;NoEchMaxi),0,ROUND(FraisF+FraisV*L238,NbDeci))+F238</x:f>
      </x:c>
      <x:c r="P238" s="342">
        <x:f>SUM(M238:O238)</x:f>
      </x:c>
      <x:c r="Q238" s="0"/>
      <x:c r="R238" s="71">
        <x:f>IF(B238&gt;0,IF(TauxActuariel,((B238+1)^(1/NbEchAn))-1,B238/NbEchAn),R237)</x:f>
      </x:c>
      <x:c r="S238" s="70">
        <x:f>IF(E238&gt;0,E238,IF(D238&gt;0,IF(AND(EchFIXE,R238&gt;0),ROUND((L238-C238)*R238/(1-((1+R238)^-D238)),NbDeci),ROUND(L238/D238,NbDeci)),S237))</x:f>
      </x:c>
    </x:row>
    <x:row r="239" spans="1:31" x14ac:dyDescent="0.2">
      <x:c r="B239" s="334"/>
      <x:c r="C239" s="335"/>
      <x:c r="D239" s="336"/>
      <x:c r="E239" s="337"/>
      <x:c r="F239" s="338"/>
      <x:c r="H239" s="327">
        <x:f>IF(L239=0,"",H238+1)</x:f>
      </x:c>
      <x:c r="I239" s="328">
        <x:f>IF(L239&gt;0,NbEch+Différé+1-H239,"")</x:f>
      </x:c>
      <x:c r="J239" s="339">
        <x:f>IF(ISNUMBER(K239),YEAR(K239),"")</x:f>
      </x:c>
      <x:c r="K239" s="340">
        <x:f>IF(L239=0,"",IF(Ijour=0,MIN(DATE(YEAR(DebAmort),MONTH(DebAmort)+(H239-1)*Imois,Jour1),DATE(YEAR(DebAmort),MONTH(DebAmort)+1+(H239-1)*Imois,0)),DATE(YEAR(DebAmort),MONTH(DebAmort),Jour1+(H239-1)*Ijour)))</x:f>
      </x:c>
      <x:c r="L239" s="341">
        <x:f>L238-N238</x:f>
      </x:c>
      <x:c r="M239" s="331">
        <x:f>IF(H239&lt;=NoEchMaxi,ROUND(L239*R239,NbDeci),0)</x:f>
      </x:c>
      <x:c r="N239" s="330">
        <x:f>IF(OR(H239&lt;=Différé,H239&gt;NoEchMaxi),IF(DiffTotal,-M239,0),IF(H239&gt;=NoEchRemb,L239,IF(S239-(M239*EchFIXE)&gt;L239-2,L239,S239-(M239*EchFIXE))))+C239</x:f>
      </x:c>
      <x:c r="O239" s="332">
        <x:f>IF(OR(L239=0,H239&gt;NoEchMaxi),0,ROUND(FraisF+FraisV*L239,NbDeci))+F239</x:f>
      </x:c>
      <x:c r="P239" s="342">
        <x:f>SUM(M239:O239)</x:f>
      </x:c>
      <x:c r="Q239" s="0"/>
      <x:c r="R239" s="71">
        <x:f>IF(B239&gt;0,IF(TauxActuariel,((B239+1)^(1/NbEchAn))-1,B239/NbEchAn),R238)</x:f>
      </x:c>
      <x:c r="S239" s="70">
        <x:f>IF(E239&gt;0,E239,IF(D239&gt;0,IF(AND(EchFIXE,R239&gt;0),ROUND((L239-C239)*R239/(1-((1+R239)^-D239)),NbDeci),ROUND(L239/D239,NbDeci)),S238))</x:f>
      </x:c>
    </x:row>
    <x:row r="240" spans="1:31" x14ac:dyDescent="0.2">
      <x:c r="B240" s="334"/>
      <x:c r="C240" s="335"/>
      <x:c r="D240" s="336"/>
      <x:c r="E240" s="337"/>
      <x:c r="F240" s="338"/>
      <x:c r="H240" s="327">
        <x:f>IF(L240=0,"",H239+1)</x:f>
      </x:c>
      <x:c r="I240" s="328">
        <x:f>IF(L240&gt;0,NbEch+Différé+1-H240,"")</x:f>
      </x:c>
      <x:c r="J240" s="339">
        <x:f>IF(ISNUMBER(K240),YEAR(K240),"")</x:f>
      </x:c>
      <x:c r="K240" s="340">
        <x:f>IF(L240=0,"",IF(Ijour=0,MIN(DATE(YEAR(DebAmort),MONTH(DebAmort)+MoisD+(H240-1)*Imois,Jour2),DATE(YEAR(DebAmort),MONTH(DebAmort)+MoisD+1+(H240-1)*Imois,0)),DATE(YEAR(DebAmort),MONTH(DebAmort),Jour1+(H240-1)*Ijour)))</x:f>
      </x:c>
      <x:c r="L240" s="341">
        <x:f>L239-N239</x:f>
      </x:c>
      <x:c r="M240" s="331">
        <x:f>IF(H240&lt;=NoEchMaxi,ROUND(L240*R240,NbDeci),0)</x:f>
      </x:c>
      <x:c r="N240" s="330">
        <x:f>IF(OR(H240&lt;=Différé,H240&gt;NoEchMaxi),IF(DiffTotal,-M240,0),IF(H240&gt;=NoEchRemb,L240,IF(S240-(M240*EchFIXE)&gt;L240-2,L240,S240-(M240*EchFIXE))))+C240</x:f>
      </x:c>
      <x:c r="O240" s="332">
        <x:f>IF(OR(L240=0,H240&gt;NoEchMaxi),0,ROUND(FraisF+FraisV*L240,NbDeci))+F240</x:f>
      </x:c>
      <x:c r="P240" s="342">
        <x:f>SUM(M240:O240)</x:f>
      </x:c>
      <x:c r="Q240" s="0"/>
      <x:c r="R240" s="71">
        <x:f>IF(B240&gt;0,IF(TauxActuariel,((B240+1)^(1/NbEchAn))-1,B240/NbEchAn),R239)</x:f>
      </x:c>
      <x:c r="S240" s="70">
        <x:f>IF(E240&gt;0,E240,IF(D240&gt;0,IF(AND(EchFIXE,R240&gt;0),ROUND((L240-C240)*R240/(1-((1+R240)^-D240)),NbDeci),ROUND(L240/D240,NbDeci)),S239))</x:f>
      </x:c>
    </x:row>
    <x:row r="241" spans="1:31" x14ac:dyDescent="0.2">
      <x:c r="B241" s="334"/>
      <x:c r="C241" s="335"/>
      <x:c r="D241" s="336"/>
      <x:c r="E241" s="337"/>
      <x:c r="F241" s="338"/>
      <x:c r="H241" s="327">
        <x:f>IF(L241=0,"",H240+1)</x:f>
      </x:c>
      <x:c r="I241" s="328">
        <x:f>IF(L241&gt;0,NbEch+Différé+1-H241,"")</x:f>
      </x:c>
      <x:c r="J241" s="339">
        <x:f>IF(ISNUMBER(K241),YEAR(K241),"")</x:f>
      </x:c>
      <x:c r="K241" s="340">
        <x:f>IF(L241=0,"",IF(Ijour=0,MIN(DATE(YEAR(DebAmort),MONTH(DebAmort)+(H241-1)*Imois,Jour1),DATE(YEAR(DebAmort),MONTH(DebAmort)+1+(H241-1)*Imois,0)),DATE(YEAR(DebAmort),MONTH(DebAmort),Jour1+(H241-1)*Ijour)))</x:f>
      </x:c>
      <x:c r="L241" s="341">
        <x:f>L240-N240</x:f>
      </x:c>
      <x:c r="M241" s="331">
        <x:f>IF(H241&lt;=NoEchMaxi,ROUND(L241*R241,NbDeci),0)</x:f>
      </x:c>
      <x:c r="N241" s="330">
        <x:f>IF(OR(H241&lt;=Différé,H241&gt;NoEchMaxi),IF(DiffTotal,-M241,0),IF(H241&gt;=NoEchRemb,L241,IF(S241-(M241*EchFIXE)&gt;L241-2,L241,S241-(M241*EchFIXE))))+C241</x:f>
      </x:c>
      <x:c r="O241" s="332">
        <x:f>IF(OR(L241=0,H241&gt;NoEchMaxi),0,ROUND(FraisF+FraisV*L241,NbDeci))+F241</x:f>
      </x:c>
      <x:c r="P241" s="342">
        <x:f>SUM(M241:O241)</x:f>
      </x:c>
      <x:c r="Q241" s="0"/>
      <x:c r="R241" s="71">
        <x:f>IF(B241&gt;0,IF(TauxActuariel,((B241+1)^(1/NbEchAn))-1,B241/NbEchAn),R240)</x:f>
      </x:c>
      <x:c r="S241" s="70">
        <x:f>IF(E241&gt;0,E241,IF(D241&gt;0,IF(AND(EchFIXE,R241&gt;0),ROUND((L241-C241)*R241/(1-((1+R241)^-D241)),NbDeci),ROUND(L241/D241,NbDeci)),S240))</x:f>
      </x:c>
    </x:row>
    <x:row r="242" spans="1:31" x14ac:dyDescent="0.2">
      <x:c r="B242" s="334"/>
      <x:c r="C242" s="335"/>
      <x:c r="D242" s="336"/>
      <x:c r="E242" s="337"/>
      <x:c r="F242" s="338"/>
      <x:c r="H242" s="327">
        <x:f>IF(L242=0,"",H241+1)</x:f>
      </x:c>
      <x:c r="I242" s="328">
        <x:f>IF(L242&gt;0,NbEch+Différé+1-H242,"")</x:f>
      </x:c>
      <x:c r="J242" s="339">
        <x:f>IF(ISNUMBER(K242),YEAR(K242),"")</x:f>
      </x:c>
      <x:c r="K242" s="340">
        <x:f>IF(L242=0,"",IF(Ijour=0,MIN(DATE(YEAR(DebAmort),MONTH(DebAmort)+MoisD+(H242-1)*Imois,Jour2),DATE(YEAR(DebAmort),MONTH(DebAmort)+MoisD+1+(H242-1)*Imois,0)),DATE(YEAR(DebAmort),MONTH(DebAmort),Jour1+(H242-1)*Ijour)))</x:f>
      </x:c>
      <x:c r="L242" s="341">
        <x:f>L241-N241</x:f>
      </x:c>
      <x:c r="M242" s="331">
        <x:f>IF(H242&lt;=NoEchMaxi,ROUND(L242*R242,NbDeci),0)</x:f>
      </x:c>
      <x:c r="N242" s="330">
        <x:f>IF(OR(H242&lt;=Différé,H242&gt;NoEchMaxi),IF(DiffTotal,-M242,0),IF(H242&gt;=NoEchRemb,L242,IF(S242-(M242*EchFIXE)&gt;L242-2,L242,S242-(M242*EchFIXE))))+C242</x:f>
      </x:c>
      <x:c r="O242" s="332">
        <x:f>IF(OR(L242=0,H242&gt;NoEchMaxi),0,ROUND(FraisF+FraisV*L242,NbDeci))+F242</x:f>
      </x:c>
      <x:c r="P242" s="342">
        <x:f>SUM(M242:O242)</x:f>
      </x:c>
      <x:c r="Q242" s="0"/>
      <x:c r="R242" s="71">
        <x:f>IF(B242&gt;0,IF(TauxActuariel,((B242+1)^(1/NbEchAn))-1,B242/NbEchAn),R241)</x:f>
      </x:c>
      <x:c r="S242" s="70">
        <x:f>IF(E242&gt;0,E242,IF(D242&gt;0,IF(AND(EchFIXE,R242&gt;0),ROUND((L242-C242)*R242/(1-((1+R242)^-D242)),NbDeci),ROUND(L242/D242,NbDeci)),S241))</x:f>
      </x:c>
    </x:row>
    <x:row r="243" spans="1:31" x14ac:dyDescent="0.2">
      <x:c r="B243" s="334"/>
      <x:c r="C243" s="335"/>
      <x:c r="D243" s="336"/>
      <x:c r="E243" s="337"/>
      <x:c r="F243" s="338"/>
      <x:c r="H243" s="327">
        <x:f>IF(L243=0,"",H242+1)</x:f>
      </x:c>
      <x:c r="I243" s="328">
        <x:f>IF(L243&gt;0,NbEch+Différé+1-H243,"")</x:f>
      </x:c>
      <x:c r="J243" s="339">
        <x:f>IF(ISNUMBER(K243),YEAR(K243),"")</x:f>
      </x:c>
      <x:c r="K243" s="340">
        <x:f>IF(L243=0,"",IF(Ijour=0,MIN(DATE(YEAR(DebAmort),MONTH(DebAmort)+(H243-1)*Imois,Jour1),DATE(YEAR(DebAmort),MONTH(DebAmort)+1+(H243-1)*Imois,0)),DATE(YEAR(DebAmort),MONTH(DebAmort),Jour1+(H243-1)*Ijour)))</x:f>
      </x:c>
      <x:c r="L243" s="341">
        <x:f>L242-N242</x:f>
      </x:c>
      <x:c r="M243" s="331">
        <x:f>IF(H243&lt;=NoEchMaxi,ROUND(L243*R243,NbDeci),0)</x:f>
      </x:c>
      <x:c r="N243" s="330">
        <x:f>IF(OR(H243&lt;=Différé,H243&gt;NoEchMaxi),IF(DiffTotal,-M243,0),IF(H243&gt;=NoEchRemb,L243,IF(S243-(M243*EchFIXE)&gt;L243-2,L243,S243-(M243*EchFIXE))))+C243</x:f>
      </x:c>
      <x:c r="O243" s="332">
        <x:f>IF(OR(L243=0,H243&gt;NoEchMaxi),0,ROUND(FraisF+FraisV*L243,NbDeci))+F243</x:f>
      </x:c>
      <x:c r="P243" s="342">
        <x:f>SUM(M243:O243)</x:f>
      </x:c>
      <x:c r="Q243" s="0"/>
      <x:c r="R243" s="71">
        <x:f>IF(B243&gt;0,IF(TauxActuariel,((B243+1)^(1/NbEchAn))-1,B243/NbEchAn),R242)</x:f>
      </x:c>
      <x:c r="S243" s="70">
        <x:f>IF(E243&gt;0,E243,IF(D243&gt;0,IF(AND(EchFIXE,R243&gt;0),ROUND((L243-C243)*R243/(1-((1+R243)^-D243)),NbDeci),ROUND(L243/D243,NbDeci)),S242))</x:f>
      </x:c>
    </x:row>
    <x:row r="244" spans="1:31" x14ac:dyDescent="0.2">
      <x:c r="B244" s="334"/>
      <x:c r="C244" s="335"/>
      <x:c r="D244" s="336"/>
      <x:c r="E244" s="337"/>
      <x:c r="F244" s="338"/>
      <x:c r="H244" s="327">
        <x:f>IF(L244=0,"",H243+1)</x:f>
      </x:c>
      <x:c r="I244" s="328">
        <x:f>IF(L244&gt;0,NbEch+Différé+1-H244,"")</x:f>
      </x:c>
      <x:c r="J244" s="339">
        <x:f>IF(ISNUMBER(K244),YEAR(K244),"")</x:f>
      </x:c>
      <x:c r="K244" s="340">
        <x:f>IF(L244=0,"",IF(Ijour=0,MIN(DATE(YEAR(DebAmort),MONTH(DebAmort)+MoisD+(H244-1)*Imois,Jour2),DATE(YEAR(DebAmort),MONTH(DebAmort)+MoisD+1+(H244-1)*Imois,0)),DATE(YEAR(DebAmort),MONTH(DebAmort),Jour1+(H244-1)*Ijour)))</x:f>
      </x:c>
      <x:c r="L244" s="341">
        <x:f>L243-N243</x:f>
      </x:c>
      <x:c r="M244" s="331">
        <x:f>IF(H244&lt;=NoEchMaxi,ROUND(L244*R244,NbDeci),0)</x:f>
      </x:c>
      <x:c r="N244" s="330">
        <x:f>IF(OR(H244&lt;=Différé,H244&gt;NoEchMaxi),IF(DiffTotal,-M244,0),IF(H244&gt;=NoEchRemb,L244,IF(S244-(M244*EchFIXE)&gt;L244-2,L244,S244-(M244*EchFIXE))))+C244</x:f>
      </x:c>
      <x:c r="O244" s="332">
        <x:f>IF(OR(L244=0,H244&gt;NoEchMaxi),0,ROUND(FraisF+FraisV*L244,NbDeci))+F244</x:f>
      </x:c>
      <x:c r="P244" s="342">
        <x:f>SUM(M244:O244)</x:f>
      </x:c>
      <x:c r="Q244" s="0"/>
      <x:c r="R244" s="71">
        <x:f>IF(B244&gt;0,IF(TauxActuariel,((B244+1)^(1/NbEchAn))-1,B244/NbEchAn),R243)</x:f>
      </x:c>
      <x:c r="S244" s="70">
        <x:f>IF(E244&gt;0,E244,IF(D244&gt;0,IF(AND(EchFIXE,R244&gt;0),ROUND((L244-C244)*R244/(1-((1+R244)^-D244)),NbDeci),ROUND(L244/D244,NbDeci)),S243))</x:f>
      </x:c>
    </x:row>
    <x:row r="245" spans="1:31" x14ac:dyDescent="0.2">
      <x:c r="B245" s="334"/>
      <x:c r="C245" s="335"/>
      <x:c r="D245" s="336"/>
      <x:c r="E245" s="337"/>
      <x:c r="F245" s="338"/>
      <x:c r="H245" s="327">
        <x:f>IF(L245=0,"",H244+1)</x:f>
      </x:c>
      <x:c r="I245" s="328">
        <x:f>IF(L245&gt;0,NbEch+Différé+1-H245,"")</x:f>
      </x:c>
      <x:c r="J245" s="339">
        <x:f>IF(ISNUMBER(K245),YEAR(K245),"")</x:f>
      </x:c>
      <x:c r="K245" s="340">
        <x:f>IF(L245=0,"",IF(Ijour=0,MIN(DATE(YEAR(DebAmort),MONTH(DebAmort)+(H245-1)*Imois,Jour1),DATE(YEAR(DebAmort),MONTH(DebAmort)+1+(H245-1)*Imois,0)),DATE(YEAR(DebAmort),MONTH(DebAmort),Jour1+(H245-1)*Ijour)))</x:f>
      </x:c>
      <x:c r="L245" s="341">
        <x:f>L244-N244</x:f>
      </x:c>
      <x:c r="M245" s="331">
        <x:f>IF(H245&lt;=NoEchMaxi,ROUND(L245*R245,NbDeci),0)</x:f>
      </x:c>
      <x:c r="N245" s="330">
        <x:f>IF(OR(H245&lt;=Différé,H245&gt;NoEchMaxi),IF(DiffTotal,-M245,0),IF(H245&gt;=NoEchRemb,L245,IF(S245-(M245*EchFIXE)&gt;L245-2,L245,S245-(M245*EchFIXE))))+C245</x:f>
      </x:c>
      <x:c r="O245" s="332">
        <x:f>IF(OR(L245=0,H245&gt;NoEchMaxi),0,ROUND(FraisF+FraisV*L245,NbDeci))+F245</x:f>
      </x:c>
      <x:c r="P245" s="342">
        <x:f>SUM(M245:O245)</x:f>
      </x:c>
      <x:c r="Q245" s="0"/>
      <x:c r="R245" s="71">
        <x:f>IF(B245&gt;0,IF(TauxActuariel,((B245+1)^(1/NbEchAn))-1,B245/NbEchAn),R244)</x:f>
      </x:c>
      <x:c r="S245" s="70">
        <x:f>IF(E245&gt;0,E245,IF(D245&gt;0,IF(AND(EchFIXE,R245&gt;0),ROUND((L245-C245)*R245/(1-((1+R245)^-D245)),NbDeci),ROUND(L245/D245,NbDeci)),S244))</x:f>
      </x:c>
    </x:row>
    <x:row r="246" spans="1:31" x14ac:dyDescent="0.2">
      <x:c r="B246" s="334"/>
      <x:c r="C246" s="335"/>
      <x:c r="D246" s="336"/>
      <x:c r="E246" s="337"/>
      <x:c r="F246" s="338"/>
      <x:c r="H246" s="327">
        <x:f>IF(L246=0,"",H245+1)</x:f>
      </x:c>
      <x:c r="I246" s="328">
        <x:f>IF(L246&gt;0,NbEch+Différé+1-H246,"")</x:f>
      </x:c>
      <x:c r="J246" s="339">
        <x:f>IF(ISNUMBER(K246),YEAR(K246),"")</x:f>
      </x:c>
      <x:c r="K246" s="340">
        <x:f>IF(L246=0,"",IF(Ijour=0,MIN(DATE(YEAR(DebAmort),MONTH(DebAmort)+MoisD+(H246-1)*Imois,Jour2),DATE(YEAR(DebAmort),MONTH(DebAmort)+MoisD+1+(H246-1)*Imois,0)),DATE(YEAR(DebAmort),MONTH(DebAmort),Jour1+(H246-1)*Ijour)))</x:f>
      </x:c>
      <x:c r="L246" s="341">
        <x:f>L245-N245</x:f>
      </x:c>
      <x:c r="M246" s="331">
        <x:f>IF(H246&lt;=NoEchMaxi,ROUND(L246*R246,NbDeci),0)</x:f>
      </x:c>
      <x:c r="N246" s="330">
        <x:f>IF(OR(H246&lt;=Différé,H246&gt;NoEchMaxi),IF(DiffTotal,-M246,0),IF(H246&gt;=NoEchRemb,L246,IF(S246-(M246*EchFIXE)&gt;L246-2,L246,S246-(M246*EchFIXE))))+C246</x:f>
      </x:c>
      <x:c r="O246" s="332">
        <x:f>IF(OR(L246=0,H246&gt;NoEchMaxi),0,ROUND(FraisF+FraisV*L246,NbDeci))+F246</x:f>
      </x:c>
      <x:c r="P246" s="342">
        <x:f>SUM(M246:O246)</x:f>
      </x:c>
      <x:c r="Q246" s="0"/>
      <x:c r="R246" s="71">
        <x:f>IF(B246&gt;0,IF(TauxActuariel,((B246+1)^(1/NbEchAn))-1,B246/NbEchAn),R245)</x:f>
      </x:c>
      <x:c r="S246" s="70">
        <x:f>IF(E246&gt;0,E246,IF(D246&gt;0,IF(AND(EchFIXE,R246&gt;0),ROUND((L246-C246)*R246/(1-((1+R246)^-D246)),NbDeci),ROUND(L246/D246,NbDeci)),S245))</x:f>
      </x:c>
    </x:row>
    <x:row r="247" spans="1:31" x14ac:dyDescent="0.2">
      <x:c r="B247" s="334"/>
      <x:c r="C247" s="335"/>
      <x:c r="D247" s="336"/>
      <x:c r="E247" s="337"/>
      <x:c r="F247" s="338"/>
      <x:c r="H247" s="327">
        <x:f>IF(L247=0,"",H246+1)</x:f>
      </x:c>
      <x:c r="I247" s="328">
        <x:f>IF(L247&gt;0,NbEch+Différé+1-H247,"")</x:f>
      </x:c>
      <x:c r="J247" s="339">
        <x:f>IF(ISNUMBER(K247),YEAR(K247),"")</x:f>
      </x:c>
      <x:c r="K247" s="340">
        <x:f>IF(L247=0,"",IF(Ijour=0,MIN(DATE(YEAR(DebAmort),MONTH(DebAmort)+(H247-1)*Imois,Jour1),DATE(YEAR(DebAmort),MONTH(DebAmort)+1+(H247-1)*Imois,0)),DATE(YEAR(DebAmort),MONTH(DebAmort),Jour1+(H247-1)*Ijour)))</x:f>
      </x:c>
      <x:c r="L247" s="341">
        <x:f>L246-N246</x:f>
      </x:c>
      <x:c r="M247" s="331">
        <x:f>IF(H247&lt;=NoEchMaxi,ROUND(L247*R247,NbDeci),0)</x:f>
      </x:c>
      <x:c r="N247" s="330">
        <x:f>IF(OR(H247&lt;=Différé,H247&gt;NoEchMaxi),IF(DiffTotal,-M247,0),IF(H247&gt;=NoEchRemb,L247,IF(S247-(M247*EchFIXE)&gt;L247-2,L247,S247-(M247*EchFIXE))))+C247</x:f>
      </x:c>
      <x:c r="O247" s="332">
        <x:f>IF(OR(L247=0,H247&gt;NoEchMaxi),0,ROUND(FraisF+FraisV*L247,NbDeci))+F247</x:f>
      </x:c>
      <x:c r="P247" s="342">
        <x:f>SUM(M247:O247)</x:f>
      </x:c>
      <x:c r="Q247" s="0"/>
      <x:c r="R247" s="71">
        <x:f>IF(B247&gt;0,IF(TauxActuariel,((B247+1)^(1/NbEchAn))-1,B247/NbEchAn),R246)</x:f>
      </x:c>
      <x:c r="S247" s="70">
        <x:f>IF(E247&gt;0,E247,IF(D247&gt;0,IF(AND(EchFIXE,R247&gt;0),ROUND((L247-C247)*R247/(1-((1+R247)^-D247)),NbDeci),ROUND(L247/D247,NbDeci)),S246))</x:f>
      </x:c>
    </x:row>
    <x:row r="248" spans="1:31" x14ac:dyDescent="0.2">
      <x:c r="B248" s="334"/>
      <x:c r="C248" s="335"/>
      <x:c r="D248" s="336"/>
      <x:c r="E248" s="337"/>
      <x:c r="F248" s="338"/>
      <x:c r="H248" s="327">
        <x:f>IF(L248=0,"",H247+1)</x:f>
      </x:c>
      <x:c r="I248" s="328">
        <x:f>IF(L248&gt;0,NbEch+Différé+1-H248,"")</x:f>
      </x:c>
      <x:c r="J248" s="339">
        <x:f>IF(ISNUMBER(K248),YEAR(K248),"")</x:f>
      </x:c>
      <x:c r="K248" s="340">
        <x:f>IF(L248=0,"",IF(Ijour=0,MIN(DATE(YEAR(DebAmort),MONTH(DebAmort)+MoisD+(H248-1)*Imois,Jour2),DATE(YEAR(DebAmort),MONTH(DebAmort)+MoisD+1+(H248-1)*Imois,0)),DATE(YEAR(DebAmort),MONTH(DebAmort),Jour1+(H248-1)*Ijour)))</x:f>
      </x:c>
      <x:c r="L248" s="341">
        <x:f>L247-N247</x:f>
      </x:c>
      <x:c r="M248" s="331">
        <x:f>IF(H248&lt;=NoEchMaxi,ROUND(L248*R248,NbDeci),0)</x:f>
      </x:c>
      <x:c r="N248" s="330">
        <x:f>IF(OR(H248&lt;=Différé,H248&gt;NoEchMaxi),IF(DiffTotal,-M248,0),IF(H248&gt;=NoEchRemb,L248,IF(S248-(M248*EchFIXE)&gt;L248-2,L248,S248-(M248*EchFIXE))))+C248</x:f>
      </x:c>
      <x:c r="O248" s="332">
        <x:f>IF(OR(L248=0,H248&gt;NoEchMaxi),0,ROUND(FraisF+FraisV*L248,NbDeci))+F248</x:f>
      </x:c>
      <x:c r="P248" s="342">
        <x:f>SUM(M248:O248)</x:f>
      </x:c>
      <x:c r="Q248" s="0"/>
      <x:c r="R248" s="71">
        <x:f>IF(B248&gt;0,IF(TauxActuariel,((B248+1)^(1/NbEchAn))-1,B248/NbEchAn),R247)</x:f>
      </x:c>
      <x:c r="S248" s="70">
        <x:f>IF(E248&gt;0,E248,IF(D248&gt;0,IF(AND(EchFIXE,R248&gt;0),ROUND((L248-C248)*R248/(1-((1+R248)^-D248)),NbDeci),ROUND(L248/D248,NbDeci)),S247))</x:f>
      </x:c>
    </x:row>
    <x:row r="249" spans="1:31" x14ac:dyDescent="0.2">
      <x:c r="B249" s="334"/>
      <x:c r="C249" s="335"/>
      <x:c r="D249" s="336"/>
      <x:c r="E249" s="337"/>
      <x:c r="F249" s="338"/>
      <x:c r="H249" s="327">
        <x:f>IF(L249=0,"",H248+1)</x:f>
      </x:c>
      <x:c r="I249" s="328">
        <x:f>IF(L249&gt;0,NbEch+Différé+1-H249,"")</x:f>
      </x:c>
      <x:c r="J249" s="339">
        <x:f>IF(ISNUMBER(K249),YEAR(K249),"")</x:f>
      </x:c>
      <x:c r="K249" s="340">
        <x:f>IF(L249=0,"",IF(Ijour=0,MIN(DATE(YEAR(DebAmort),MONTH(DebAmort)+(H249-1)*Imois,Jour1),DATE(YEAR(DebAmort),MONTH(DebAmort)+1+(H249-1)*Imois,0)),DATE(YEAR(DebAmort),MONTH(DebAmort),Jour1+(H249-1)*Ijour)))</x:f>
      </x:c>
      <x:c r="L249" s="341">
        <x:f>L248-N248</x:f>
      </x:c>
      <x:c r="M249" s="331">
        <x:f>IF(H249&lt;=NoEchMaxi,ROUND(L249*R249,NbDeci),0)</x:f>
      </x:c>
      <x:c r="N249" s="330">
        <x:f>IF(OR(H249&lt;=Différé,H249&gt;NoEchMaxi),IF(DiffTotal,-M249,0),IF(H249&gt;=NoEchRemb,L249,IF(S249-(M249*EchFIXE)&gt;L249-2,L249,S249-(M249*EchFIXE))))+C249</x:f>
      </x:c>
      <x:c r="O249" s="332">
        <x:f>IF(OR(L249=0,H249&gt;NoEchMaxi),0,ROUND(FraisF+FraisV*L249,NbDeci))+F249</x:f>
      </x:c>
      <x:c r="P249" s="342">
        <x:f>SUM(M249:O249)</x:f>
      </x:c>
      <x:c r="Q249" s="0"/>
      <x:c r="R249" s="71">
        <x:f>IF(B249&gt;0,IF(TauxActuariel,((B249+1)^(1/NbEchAn))-1,B249/NbEchAn),R248)</x:f>
      </x:c>
      <x:c r="S249" s="70">
        <x:f>IF(E249&gt;0,E249,IF(D249&gt;0,IF(AND(EchFIXE,R249&gt;0),ROUND((L249-C249)*R249/(1-((1+R249)^-D249)),NbDeci),ROUND(L249/D249,NbDeci)),S248))</x:f>
      </x:c>
    </x:row>
    <x:row r="250" spans="1:31" x14ac:dyDescent="0.2">
      <x:c r="B250" s="334"/>
      <x:c r="C250" s="335"/>
      <x:c r="D250" s="336"/>
      <x:c r="E250" s="337"/>
      <x:c r="F250" s="338"/>
      <x:c r="H250" s="327">
        <x:f>IF(L250=0,"",H249+1)</x:f>
      </x:c>
      <x:c r="I250" s="328">
        <x:f>IF(L250&gt;0,NbEch+Différé+1-H250,"")</x:f>
      </x:c>
      <x:c r="J250" s="339">
        <x:f>IF(ISNUMBER(K250),YEAR(K250),"")</x:f>
      </x:c>
      <x:c r="K250" s="340">
        <x:f>IF(L250=0,"",IF(Ijour=0,MIN(DATE(YEAR(DebAmort),MONTH(DebAmort)+MoisD+(H250-1)*Imois,Jour2),DATE(YEAR(DebAmort),MONTH(DebAmort)+MoisD+1+(H250-1)*Imois,0)),DATE(YEAR(DebAmort),MONTH(DebAmort),Jour1+(H250-1)*Ijour)))</x:f>
      </x:c>
      <x:c r="L250" s="341">
        <x:f>L249-N249</x:f>
      </x:c>
      <x:c r="M250" s="331">
        <x:f>IF(H250&lt;=NoEchMaxi,ROUND(L250*R250,NbDeci),0)</x:f>
      </x:c>
      <x:c r="N250" s="330">
        <x:f>IF(OR(H250&lt;=Différé,H250&gt;NoEchMaxi),IF(DiffTotal,-M250,0),IF(H250&gt;=NoEchRemb,L250,IF(S250-(M250*EchFIXE)&gt;L250-2,L250,S250-(M250*EchFIXE))))+C250</x:f>
      </x:c>
      <x:c r="O250" s="332">
        <x:f>IF(OR(L250=0,H250&gt;NoEchMaxi),0,ROUND(FraisF+FraisV*L250,NbDeci))+F250</x:f>
      </x:c>
      <x:c r="P250" s="342">
        <x:f>SUM(M250:O250)</x:f>
      </x:c>
      <x:c r="Q250" s="0"/>
      <x:c r="R250" s="71">
        <x:f>IF(B250&gt;0,IF(TauxActuariel,((B250+1)^(1/NbEchAn))-1,B250/NbEchAn),R249)</x:f>
      </x:c>
      <x:c r="S250" s="70">
        <x:f>IF(E250&gt;0,E250,IF(D250&gt;0,IF(AND(EchFIXE,R250&gt;0),ROUND((L250-C250)*R250/(1-((1+R250)^-D250)),NbDeci),ROUND(L250/D250,NbDeci)),S249))</x:f>
      </x:c>
    </x:row>
    <x:row r="251" spans="1:31" x14ac:dyDescent="0.2">
      <x:c r="B251" s="334"/>
      <x:c r="C251" s="335"/>
      <x:c r="D251" s="336"/>
      <x:c r="E251" s="337"/>
      <x:c r="F251" s="338"/>
      <x:c r="H251" s="327">
        <x:f>IF(L251=0,"",H250+1)</x:f>
      </x:c>
      <x:c r="I251" s="328">
        <x:f>IF(L251&gt;0,NbEch+Différé+1-H251,"")</x:f>
      </x:c>
      <x:c r="J251" s="339">
        <x:f>IF(ISNUMBER(K251),YEAR(K251),"")</x:f>
      </x:c>
      <x:c r="K251" s="340">
        <x:f>IF(L251=0,"",IF(Ijour=0,MIN(DATE(YEAR(DebAmort),MONTH(DebAmort)+(H251-1)*Imois,Jour1),DATE(YEAR(DebAmort),MONTH(DebAmort)+1+(H251-1)*Imois,0)),DATE(YEAR(DebAmort),MONTH(DebAmort),Jour1+(H251-1)*Ijour)))</x:f>
      </x:c>
      <x:c r="L251" s="341">
        <x:f>L250-N250</x:f>
      </x:c>
      <x:c r="M251" s="331">
        <x:f>IF(H251&lt;=NoEchMaxi,ROUND(L251*R251,NbDeci),0)</x:f>
      </x:c>
      <x:c r="N251" s="330">
        <x:f>IF(OR(H251&lt;=Différé,H251&gt;NoEchMaxi),IF(DiffTotal,-M251,0),IF(H251&gt;=NoEchRemb,L251,IF(S251-(M251*EchFIXE)&gt;L251-2,L251,S251-(M251*EchFIXE))))+C251</x:f>
      </x:c>
      <x:c r="O251" s="332">
        <x:f>IF(OR(L251=0,H251&gt;NoEchMaxi),0,ROUND(FraisF+FraisV*L251,NbDeci))+F251</x:f>
      </x:c>
      <x:c r="P251" s="342">
        <x:f>SUM(M251:O251)</x:f>
      </x:c>
      <x:c r="Q251" s="0"/>
      <x:c r="R251" s="71">
        <x:f>IF(B251&gt;0,IF(TauxActuariel,((B251+1)^(1/NbEchAn))-1,B251/NbEchAn),R250)</x:f>
      </x:c>
      <x:c r="S251" s="70">
        <x:f>IF(E251&gt;0,E251,IF(D251&gt;0,IF(AND(EchFIXE,R251&gt;0),ROUND((L251-C251)*R251/(1-((1+R251)^-D251)),NbDeci),ROUND(L251/D251,NbDeci)),S250))</x:f>
      </x:c>
    </x:row>
    <x:row r="252" spans="1:31" x14ac:dyDescent="0.2">
      <x:c r="B252" s="334"/>
      <x:c r="C252" s="335"/>
      <x:c r="D252" s="336"/>
      <x:c r="E252" s="337"/>
      <x:c r="F252" s="338"/>
      <x:c r="H252" s="327">
        <x:f>IF(L252=0,"",H251+1)</x:f>
      </x:c>
      <x:c r="I252" s="328">
        <x:f>IF(L252&gt;0,NbEch+Différé+1-H252,"")</x:f>
      </x:c>
      <x:c r="J252" s="339">
        <x:f>IF(ISNUMBER(K252),YEAR(K252),"")</x:f>
      </x:c>
      <x:c r="K252" s="340">
        <x:f>IF(L252=0,"",IF(Ijour=0,MIN(DATE(YEAR(DebAmort),MONTH(DebAmort)+MoisD+(H252-1)*Imois,Jour2),DATE(YEAR(DebAmort),MONTH(DebAmort)+MoisD+1+(H252-1)*Imois,0)),DATE(YEAR(DebAmort),MONTH(DebAmort),Jour1+(H252-1)*Ijour)))</x:f>
      </x:c>
      <x:c r="L252" s="341">
        <x:f>L251-N251</x:f>
      </x:c>
      <x:c r="M252" s="331">
        <x:f>IF(H252&lt;=NoEchMaxi,ROUND(L252*R252,NbDeci),0)</x:f>
      </x:c>
      <x:c r="N252" s="330">
        <x:f>IF(OR(H252&lt;=Différé,H252&gt;NoEchMaxi),IF(DiffTotal,-M252,0),IF(H252&gt;=NoEchRemb,L252,IF(S252-(M252*EchFIXE)&gt;L252-2,L252,S252-(M252*EchFIXE))))+C252</x:f>
      </x:c>
      <x:c r="O252" s="332">
        <x:f>IF(OR(L252=0,H252&gt;NoEchMaxi),0,ROUND(FraisF+FraisV*L252,NbDeci))+F252</x:f>
      </x:c>
      <x:c r="P252" s="342">
        <x:f>SUM(M252:O252)</x:f>
      </x:c>
      <x:c r="Q252" s="0"/>
      <x:c r="R252" s="71">
        <x:f>IF(B252&gt;0,IF(TauxActuariel,((B252+1)^(1/NbEchAn))-1,B252/NbEchAn),R251)</x:f>
      </x:c>
      <x:c r="S252" s="70">
        <x:f>IF(E252&gt;0,E252,IF(D252&gt;0,IF(AND(EchFIXE,R252&gt;0),ROUND((L252-C252)*R252/(1-((1+R252)^-D252)),NbDeci),ROUND(L252/D252,NbDeci)),S251))</x:f>
      </x:c>
    </x:row>
    <x:row r="253" spans="1:31" x14ac:dyDescent="0.2">
      <x:c r="B253" s="334"/>
      <x:c r="C253" s="335"/>
      <x:c r="D253" s="336"/>
      <x:c r="E253" s="337"/>
      <x:c r="F253" s="338"/>
      <x:c r="H253" s="327">
        <x:f>IF(L253=0,"",H252+1)</x:f>
      </x:c>
      <x:c r="I253" s="328">
        <x:f>IF(L253&gt;0,NbEch+Différé+1-H253,"")</x:f>
      </x:c>
      <x:c r="J253" s="339">
        <x:f>IF(ISNUMBER(K253),YEAR(K253),"")</x:f>
      </x:c>
      <x:c r="K253" s="340">
        <x:f>IF(L253=0,"",IF(Ijour=0,MIN(DATE(YEAR(DebAmort),MONTH(DebAmort)+(H253-1)*Imois,Jour1),DATE(YEAR(DebAmort),MONTH(DebAmort)+1+(H253-1)*Imois,0)),DATE(YEAR(DebAmort),MONTH(DebAmort),Jour1+(H253-1)*Ijour)))</x:f>
      </x:c>
      <x:c r="L253" s="341">
        <x:f>L252-N252</x:f>
      </x:c>
      <x:c r="M253" s="331">
        <x:f>IF(H253&lt;=NoEchMaxi,ROUND(L253*R253,NbDeci),0)</x:f>
      </x:c>
      <x:c r="N253" s="330">
        <x:f>IF(OR(H253&lt;=Différé,H253&gt;NoEchMaxi),IF(DiffTotal,-M253,0),IF(H253&gt;=NoEchRemb,L253,IF(S253-(M253*EchFIXE)&gt;L253-2,L253,S253-(M253*EchFIXE))))+C253</x:f>
      </x:c>
      <x:c r="O253" s="332">
        <x:f>IF(OR(L253=0,H253&gt;NoEchMaxi),0,ROUND(FraisF+FraisV*L253,NbDeci))+F253</x:f>
      </x:c>
      <x:c r="P253" s="342">
        <x:f>SUM(M253:O253)</x:f>
      </x:c>
      <x:c r="Q253" s="0"/>
      <x:c r="R253" s="71">
        <x:f>IF(B253&gt;0,IF(TauxActuariel,((B253+1)^(1/NbEchAn))-1,B253/NbEchAn),R252)</x:f>
      </x:c>
      <x:c r="S253" s="70">
        <x:f>IF(E253&gt;0,E253,IF(D253&gt;0,IF(AND(EchFIXE,R253&gt;0),ROUND((L253-C253)*R253/(1-((1+R253)^-D253)),NbDeci),ROUND(L253/D253,NbDeci)),S252))</x:f>
      </x:c>
    </x:row>
    <x:row r="254" spans="1:31" x14ac:dyDescent="0.2">
      <x:c r="B254" s="334"/>
      <x:c r="C254" s="335"/>
      <x:c r="D254" s="336"/>
      <x:c r="E254" s="337"/>
      <x:c r="F254" s="338"/>
      <x:c r="H254" s="327">
        <x:f>IF(L254=0,"",H253+1)</x:f>
      </x:c>
      <x:c r="I254" s="328">
        <x:f>IF(L254&gt;0,NbEch+Différé+1-H254,"")</x:f>
      </x:c>
      <x:c r="J254" s="339">
        <x:f>IF(ISNUMBER(K254),YEAR(K254),"")</x:f>
      </x:c>
      <x:c r="K254" s="340">
        <x:f>IF(L254=0,"",IF(Ijour=0,MIN(DATE(YEAR(DebAmort),MONTH(DebAmort)+MoisD+(H254-1)*Imois,Jour2),DATE(YEAR(DebAmort),MONTH(DebAmort)+MoisD+1+(H254-1)*Imois,0)),DATE(YEAR(DebAmort),MONTH(DebAmort),Jour1+(H254-1)*Ijour)))</x:f>
      </x:c>
      <x:c r="L254" s="341">
        <x:f>L253-N253</x:f>
      </x:c>
      <x:c r="M254" s="331">
        <x:f>IF(H254&lt;=NoEchMaxi,ROUND(L254*R254,NbDeci),0)</x:f>
      </x:c>
      <x:c r="N254" s="330">
        <x:f>IF(OR(H254&lt;=Différé,H254&gt;NoEchMaxi),IF(DiffTotal,-M254,0),IF(H254&gt;=NoEchRemb,L254,IF(S254-(M254*EchFIXE)&gt;L254-2,L254,S254-(M254*EchFIXE))))+C254</x:f>
      </x:c>
      <x:c r="O254" s="332">
        <x:f>IF(OR(L254=0,H254&gt;NoEchMaxi),0,ROUND(FraisF+FraisV*L254,NbDeci))+F254</x:f>
      </x:c>
      <x:c r="P254" s="342">
        <x:f>SUM(M254:O254)</x:f>
      </x:c>
      <x:c r="Q254" s="0"/>
      <x:c r="R254" s="71">
        <x:f>IF(B254&gt;0,IF(TauxActuariel,((B254+1)^(1/NbEchAn))-1,B254/NbEchAn),R253)</x:f>
      </x:c>
      <x:c r="S254" s="70">
        <x:f>IF(E254&gt;0,E254,IF(D254&gt;0,IF(AND(EchFIXE,R254&gt;0),ROUND((L254-C254)*R254/(1-((1+R254)^-D254)),NbDeci),ROUND(L254/D254,NbDeci)),S253))</x:f>
      </x:c>
    </x:row>
    <x:row r="255" spans="1:31" x14ac:dyDescent="0.2">
      <x:c r="B255" s="334"/>
      <x:c r="C255" s="335"/>
      <x:c r="D255" s="336"/>
      <x:c r="E255" s="337"/>
      <x:c r="F255" s="338"/>
      <x:c r="H255" s="327">
        <x:f>IF(L255=0,"",H254+1)</x:f>
      </x:c>
      <x:c r="I255" s="328">
        <x:f>IF(L255&gt;0,NbEch+Différé+1-H255,"")</x:f>
      </x:c>
      <x:c r="J255" s="339">
        <x:f>IF(ISNUMBER(K255),YEAR(K255),"")</x:f>
      </x:c>
      <x:c r="K255" s="340">
        <x:f>IF(L255=0,"",IF(Ijour=0,MIN(DATE(YEAR(DebAmort),MONTH(DebAmort)+(H255-1)*Imois,Jour1),DATE(YEAR(DebAmort),MONTH(DebAmort)+1+(H255-1)*Imois,0)),DATE(YEAR(DebAmort),MONTH(DebAmort),Jour1+(H255-1)*Ijour)))</x:f>
      </x:c>
      <x:c r="L255" s="341">
        <x:f>L254-N254</x:f>
      </x:c>
      <x:c r="M255" s="331">
        <x:f>IF(H255&lt;=NoEchMaxi,ROUND(L255*R255,NbDeci),0)</x:f>
      </x:c>
      <x:c r="N255" s="330">
        <x:f>IF(OR(H255&lt;=Différé,H255&gt;NoEchMaxi),IF(DiffTotal,-M255,0),IF(H255&gt;=NoEchRemb,L255,IF(S255-(M255*EchFIXE)&gt;L255-2,L255,S255-(M255*EchFIXE))))+C255</x:f>
      </x:c>
      <x:c r="O255" s="332">
        <x:f>IF(OR(L255=0,H255&gt;NoEchMaxi),0,ROUND(FraisF+FraisV*L255,NbDeci))+F255</x:f>
      </x:c>
      <x:c r="P255" s="342">
        <x:f>SUM(M255:O255)</x:f>
      </x:c>
      <x:c r="Q255" s="0"/>
      <x:c r="R255" s="71">
        <x:f>IF(B255&gt;0,IF(TauxActuariel,((B255+1)^(1/NbEchAn))-1,B255/NbEchAn),R254)</x:f>
      </x:c>
      <x:c r="S255" s="70">
        <x:f>IF(E255&gt;0,E255,IF(D255&gt;0,IF(AND(EchFIXE,R255&gt;0),ROUND((L255-C255)*R255/(1-((1+R255)^-D255)),NbDeci),ROUND(L255/D255,NbDeci)),S254))</x:f>
      </x:c>
    </x:row>
    <x:row r="256" spans="1:31" x14ac:dyDescent="0.2">
      <x:c r="B256" s="334"/>
      <x:c r="C256" s="335"/>
      <x:c r="D256" s="336"/>
      <x:c r="E256" s="337"/>
      <x:c r="F256" s="338"/>
      <x:c r="H256" s="327">
        <x:f>IF(L256=0,"",H255+1)</x:f>
      </x:c>
      <x:c r="I256" s="328">
        <x:f>IF(L256&gt;0,NbEch+Différé+1-H256,"")</x:f>
      </x:c>
      <x:c r="J256" s="339">
        <x:f>IF(ISNUMBER(K256),YEAR(K256),"")</x:f>
      </x:c>
      <x:c r="K256" s="340">
        <x:f>IF(L256=0,"",IF(Ijour=0,MIN(DATE(YEAR(DebAmort),MONTH(DebAmort)+MoisD+(H256-1)*Imois,Jour2),DATE(YEAR(DebAmort),MONTH(DebAmort)+MoisD+1+(H256-1)*Imois,0)),DATE(YEAR(DebAmort),MONTH(DebAmort),Jour1+(H256-1)*Ijour)))</x:f>
      </x:c>
      <x:c r="L256" s="341">
        <x:f>L255-N255</x:f>
      </x:c>
      <x:c r="M256" s="331">
        <x:f>IF(H256&lt;=NoEchMaxi,ROUND(L256*R256,NbDeci),0)</x:f>
      </x:c>
      <x:c r="N256" s="330">
        <x:f>IF(OR(H256&lt;=Différé,H256&gt;NoEchMaxi),IF(DiffTotal,-M256,0),IF(H256&gt;=NoEchRemb,L256,IF(S256-(M256*EchFIXE)&gt;L256-2,L256,S256-(M256*EchFIXE))))+C256</x:f>
      </x:c>
      <x:c r="O256" s="332">
        <x:f>IF(OR(L256=0,H256&gt;NoEchMaxi),0,ROUND(FraisF+FraisV*L256,NbDeci))+F256</x:f>
      </x:c>
      <x:c r="P256" s="342">
        <x:f>SUM(M256:O256)</x:f>
      </x:c>
      <x:c r="Q256" s="0"/>
      <x:c r="R256" s="71">
        <x:f>IF(B256&gt;0,IF(TauxActuariel,((B256+1)^(1/NbEchAn))-1,B256/NbEchAn),R255)</x:f>
      </x:c>
      <x:c r="S256" s="70">
        <x:f>IF(E256&gt;0,E256,IF(D256&gt;0,IF(AND(EchFIXE,R256&gt;0),ROUND((L256-C256)*R256/(1-((1+R256)^-D256)),NbDeci),ROUND(L256/D256,NbDeci)),S255))</x:f>
      </x:c>
    </x:row>
    <x:row r="257" spans="1:31" x14ac:dyDescent="0.2">
      <x:c r="B257" s="334"/>
      <x:c r="C257" s="335"/>
      <x:c r="D257" s="336"/>
      <x:c r="E257" s="337"/>
      <x:c r="F257" s="338"/>
      <x:c r="H257" s="327">
        <x:f>IF(L257=0,"",H256+1)</x:f>
      </x:c>
      <x:c r="I257" s="328">
        <x:f>IF(L257&gt;0,NbEch+Différé+1-H257,"")</x:f>
      </x:c>
      <x:c r="J257" s="339">
        <x:f>IF(ISNUMBER(K257),YEAR(K257),"")</x:f>
      </x:c>
      <x:c r="K257" s="340">
        <x:f>IF(L257=0,"",IF(Ijour=0,MIN(DATE(YEAR(DebAmort),MONTH(DebAmort)+(H257-1)*Imois,Jour1),DATE(YEAR(DebAmort),MONTH(DebAmort)+1+(H257-1)*Imois,0)),DATE(YEAR(DebAmort),MONTH(DebAmort),Jour1+(H257-1)*Ijour)))</x:f>
      </x:c>
      <x:c r="L257" s="341">
        <x:f>L256-N256</x:f>
      </x:c>
      <x:c r="M257" s="331">
        <x:f>IF(H257&lt;=NoEchMaxi,ROUND(L257*R257,NbDeci),0)</x:f>
      </x:c>
      <x:c r="N257" s="330">
        <x:f>IF(OR(H257&lt;=Différé,H257&gt;NoEchMaxi),IF(DiffTotal,-M257,0),IF(H257&gt;=NoEchRemb,L257,IF(S257-(M257*EchFIXE)&gt;L257-2,L257,S257-(M257*EchFIXE))))+C257</x:f>
      </x:c>
      <x:c r="O257" s="332">
        <x:f>IF(OR(L257=0,H257&gt;NoEchMaxi),0,ROUND(FraisF+FraisV*L257,NbDeci))+F257</x:f>
      </x:c>
      <x:c r="P257" s="342">
        <x:f>SUM(M257:O257)</x:f>
      </x:c>
      <x:c r="Q257" s="0"/>
      <x:c r="R257" s="71">
        <x:f>IF(B257&gt;0,IF(TauxActuariel,((B257+1)^(1/NbEchAn))-1,B257/NbEchAn),R256)</x:f>
      </x:c>
      <x:c r="S257" s="70">
        <x:f>IF(E257&gt;0,E257,IF(D257&gt;0,IF(AND(EchFIXE,R257&gt;0),ROUND((L257-C257)*R257/(1-((1+R257)^-D257)),NbDeci),ROUND(L257/D257,NbDeci)),S256))</x:f>
      </x:c>
    </x:row>
    <x:row r="258" spans="1:31" x14ac:dyDescent="0.2">
      <x:c r="B258" s="334"/>
      <x:c r="C258" s="335"/>
      <x:c r="D258" s="336"/>
      <x:c r="E258" s="337"/>
      <x:c r="F258" s="338"/>
      <x:c r="H258" s="327">
        <x:f>IF(L258=0,"",H257+1)</x:f>
      </x:c>
      <x:c r="I258" s="328">
        <x:f>IF(L258&gt;0,NbEch+Différé+1-H258,"")</x:f>
      </x:c>
      <x:c r="J258" s="339">
        <x:f>IF(ISNUMBER(K258),YEAR(K258),"")</x:f>
      </x:c>
      <x:c r="K258" s="340">
        <x:f>IF(L258=0,"",IF(Ijour=0,MIN(DATE(YEAR(DebAmort),MONTH(DebAmort)+MoisD+(H258-1)*Imois,Jour2),DATE(YEAR(DebAmort),MONTH(DebAmort)+MoisD+1+(H258-1)*Imois,0)),DATE(YEAR(DebAmort),MONTH(DebAmort),Jour1+(H258-1)*Ijour)))</x:f>
      </x:c>
      <x:c r="L258" s="341">
        <x:f>L257-N257</x:f>
      </x:c>
      <x:c r="M258" s="331">
        <x:f>IF(H258&lt;=NoEchMaxi,ROUND(L258*R258,NbDeci),0)</x:f>
      </x:c>
      <x:c r="N258" s="330">
        <x:f>IF(OR(H258&lt;=Différé,H258&gt;NoEchMaxi),IF(DiffTotal,-M258,0),IF(H258&gt;=NoEchRemb,L258,IF(S258-(M258*EchFIXE)&gt;L258-2,L258,S258-(M258*EchFIXE))))+C258</x:f>
      </x:c>
      <x:c r="O258" s="332">
        <x:f>IF(OR(L258=0,H258&gt;NoEchMaxi),0,ROUND(FraisF+FraisV*L258,NbDeci))+F258</x:f>
      </x:c>
      <x:c r="P258" s="342">
        <x:f>SUM(M258:O258)</x:f>
      </x:c>
      <x:c r="Q258" s="0"/>
      <x:c r="R258" s="71">
        <x:f>IF(B258&gt;0,IF(TauxActuariel,((B258+1)^(1/NbEchAn))-1,B258/NbEchAn),R257)</x:f>
      </x:c>
      <x:c r="S258" s="70">
        <x:f>IF(E258&gt;0,E258,IF(D258&gt;0,IF(AND(EchFIXE,R258&gt;0),ROUND((L258-C258)*R258/(1-((1+R258)^-D258)),NbDeci),ROUND(L258/D258,NbDeci)),S257))</x:f>
      </x:c>
    </x:row>
    <x:row r="259" spans="1:31" x14ac:dyDescent="0.2">
      <x:c r="B259" s="334"/>
      <x:c r="C259" s="335"/>
      <x:c r="D259" s="336"/>
      <x:c r="E259" s="337"/>
      <x:c r="F259" s="338"/>
      <x:c r="H259" s="327">
        <x:f>IF(L259=0,"",H258+1)</x:f>
      </x:c>
      <x:c r="I259" s="328">
        <x:f>IF(L259&gt;0,NbEch+Différé+1-H259,"")</x:f>
      </x:c>
      <x:c r="J259" s="339">
        <x:f>IF(ISNUMBER(K259),YEAR(K259),"")</x:f>
      </x:c>
      <x:c r="K259" s="340">
        <x:f>IF(L259=0,"",IF(Ijour=0,MIN(DATE(YEAR(DebAmort),MONTH(DebAmort)+(H259-1)*Imois,Jour1),DATE(YEAR(DebAmort),MONTH(DebAmort)+1+(H259-1)*Imois,0)),DATE(YEAR(DebAmort),MONTH(DebAmort),Jour1+(H259-1)*Ijour)))</x:f>
      </x:c>
      <x:c r="L259" s="341">
        <x:f>L258-N258</x:f>
      </x:c>
      <x:c r="M259" s="331">
        <x:f>IF(H259&lt;=NoEchMaxi,ROUND(L259*R259,NbDeci),0)</x:f>
      </x:c>
      <x:c r="N259" s="330">
        <x:f>IF(OR(H259&lt;=Différé,H259&gt;NoEchMaxi),IF(DiffTotal,-M259,0),IF(H259&gt;=NoEchRemb,L259,IF(S259-(M259*EchFIXE)&gt;L259-2,L259,S259-(M259*EchFIXE))))+C259</x:f>
      </x:c>
      <x:c r="O259" s="332">
        <x:f>IF(OR(L259=0,H259&gt;NoEchMaxi),0,ROUND(FraisF+FraisV*L259,NbDeci))+F259</x:f>
      </x:c>
      <x:c r="P259" s="342">
        <x:f>SUM(M259:O259)</x:f>
      </x:c>
      <x:c r="Q259" s="0"/>
      <x:c r="R259" s="71">
        <x:f>IF(B259&gt;0,IF(TauxActuariel,((B259+1)^(1/NbEchAn))-1,B259/NbEchAn),R258)</x:f>
      </x:c>
      <x:c r="S259" s="70">
        <x:f>IF(E259&gt;0,E259,IF(D259&gt;0,IF(AND(EchFIXE,R259&gt;0),ROUND((L259-C259)*R259/(1-((1+R259)^-D259)),NbDeci),ROUND(L259/D259,NbDeci)),S258))</x:f>
      </x:c>
    </x:row>
    <x:row r="260" spans="1:31" x14ac:dyDescent="0.2">
      <x:c r="B260" s="334"/>
      <x:c r="C260" s="335"/>
      <x:c r="D260" s="336"/>
      <x:c r="E260" s="337"/>
      <x:c r="F260" s="338"/>
      <x:c r="H260" s="327">
        <x:f>IF(L260=0,"",H259+1)</x:f>
      </x:c>
      <x:c r="I260" s="328">
        <x:f>IF(L260&gt;0,NbEch+Différé+1-H260,"")</x:f>
      </x:c>
      <x:c r="J260" s="339">
        <x:f>IF(ISNUMBER(K260),YEAR(K260),"")</x:f>
      </x:c>
      <x:c r="K260" s="340">
        <x:f>IF(L260=0,"",IF(Ijour=0,MIN(DATE(YEAR(DebAmort),MONTH(DebAmort)+MoisD+(H260-1)*Imois,Jour2),DATE(YEAR(DebAmort),MONTH(DebAmort)+MoisD+1+(H260-1)*Imois,0)),DATE(YEAR(DebAmort),MONTH(DebAmort),Jour1+(H260-1)*Ijour)))</x:f>
      </x:c>
      <x:c r="L260" s="341">
        <x:f>L259-N259</x:f>
      </x:c>
      <x:c r="M260" s="331">
        <x:f>IF(H260&lt;=NoEchMaxi,ROUND(L260*R260,NbDeci),0)</x:f>
      </x:c>
      <x:c r="N260" s="330">
        <x:f>IF(OR(H260&lt;=Différé,H260&gt;NoEchMaxi),IF(DiffTotal,-M260,0),IF(H260&gt;=NoEchRemb,L260,IF(S260-(M260*EchFIXE)&gt;L260-2,L260,S260-(M260*EchFIXE))))+C260</x:f>
      </x:c>
      <x:c r="O260" s="332">
        <x:f>IF(OR(L260=0,H260&gt;NoEchMaxi),0,ROUND(FraisF+FraisV*L260,NbDeci))+F260</x:f>
      </x:c>
      <x:c r="P260" s="342">
        <x:f>SUM(M260:O260)</x:f>
      </x:c>
      <x:c r="Q260" s="0"/>
      <x:c r="R260" s="71">
        <x:f>IF(B260&gt;0,IF(TauxActuariel,((B260+1)^(1/NbEchAn))-1,B260/NbEchAn),R259)</x:f>
      </x:c>
      <x:c r="S260" s="70">
        <x:f>IF(E260&gt;0,E260,IF(D260&gt;0,IF(AND(EchFIXE,R260&gt;0),ROUND((L260-C260)*R260/(1-((1+R260)^-D260)),NbDeci),ROUND(L260/D260,NbDeci)),S259))</x:f>
      </x:c>
    </x:row>
    <x:row r="261" spans="1:31" x14ac:dyDescent="0.2">
      <x:c r="B261" s="334"/>
      <x:c r="C261" s="335"/>
      <x:c r="D261" s="336"/>
      <x:c r="E261" s="337"/>
      <x:c r="F261" s="338"/>
      <x:c r="H261" s="327">
        <x:f>IF(L261=0,"",H260+1)</x:f>
      </x:c>
      <x:c r="I261" s="328">
        <x:f>IF(L261&gt;0,NbEch+Différé+1-H261,"")</x:f>
      </x:c>
      <x:c r="J261" s="339">
        <x:f>IF(ISNUMBER(K261),YEAR(K261),"")</x:f>
      </x:c>
      <x:c r="K261" s="340">
        <x:f>IF(L261=0,"",IF(Ijour=0,MIN(DATE(YEAR(DebAmort),MONTH(DebAmort)+(H261-1)*Imois,Jour1),DATE(YEAR(DebAmort),MONTH(DebAmort)+1+(H261-1)*Imois,0)),DATE(YEAR(DebAmort),MONTH(DebAmort),Jour1+(H261-1)*Ijour)))</x:f>
      </x:c>
      <x:c r="L261" s="341">
        <x:f>L260-N260</x:f>
      </x:c>
      <x:c r="M261" s="331">
        <x:f>IF(H261&lt;=NoEchMaxi,ROUND(L261*R261,NbDeci),0)</x:f>
      </x:c>
      <x:c r="N261" s="330">
        <x:f>IF(OR(H261&lt;=Différé,H261&gt;NoEchMaxi),IF(DiffTotal,-M261,0),IF(H261&gt;=NoEchRemb,L261,IF(S261-(M261*EchFIXE)&gt;L261-2,L261,S261-(M261*EchFIXE))))+C261</x:f>
      </x:c>
      <x:c r="O261" s="332">
        <x:f>IF(OR(L261=0,H261&gt;NoEchMaxi),0,ROUND(FraisF+FraisV*L261,NbDeci))+F261</x:f>
      </x:c>
      <x:c r="P261" s="342">
        <x:f>SUM(M261:O261)</x:f>
      </x:c>
      <x:c r="Q261" s="0"/>
      <x:c r="R261" s="71">
        <x:f>IF(B261&gt;0,IF(TauxActuariel,((B261+1)^(1/NbEchAn))-1,B261/NbEchAn),R260)</x:f>
      </x:c>
      <x:c r="S261" s="70">
        <x:f>IF(E261&gt;0,E261,IF(D261&gt;0,IF(AND(EchFIXE,R261&gt;0),ROUND((L261-C261)*R261/(1-((1+R261)^-D261)),NbDeci),ROUND(L261/D261,NbDeci)),S260))</x:f>
      </x:c>
    </x:row>
    <x:row r="262" spans="1:31" x14ac:dyDescent="0.2">
      <x:c r="B262" s="334"/>
      <x:c r="C262" s="335"/>
      <x:c r="D262" s="336"/>
      <x:c r="E262" s="337"/>
      <x:c r="F262" s="338"/>
      <x:c r="H262" s="327">
        <x:f>IF(L262=0,"",H261+1)</x:f>
      </x:c>
      <x:c r="I262" s="328">
        <x:f>IF(L262&gt;0,NbEch+Différé+1-H262,"")</x:f>
      </x:c>
      <x:c r="J262" s="339">
        <x:f>IF(ISNUMBER(K262),YEAR(K262),"")</x:f>
      </x:c>
      <x:c r="K262" s="340">
        <x:f>IF(L262=0,"",IF(Ijour=0,MIN(DATE(YEAR(DebAmort),MONTH(DebAmort)+MoisD+(H262-1)*Imois,Jour2),DATE(YEAR(DebAmort),MONTH(DebAmort)+MoisD+1+(H262-1)*Imois,0)),DATE(YEAR(DebAmort),MONTH(DebAmort),Jour1+(H262-1)*Ijour)))</x:f>
      </x:c>
      <x:c r="L262" s="341">
        <x:f>L261-N261</x:f>
      </x:c>
      <x:c r="M262" s="331">
        <x:f>IF(H262&lt;=NoEchMaxi,ROUND(L262*R262,NbDeci),0)</x:f>
      </x:c>
      <x:c r="N262" s="330">
        <x:f>IF(OR(H262&lt;=Différé,H262&gt;NoEchMaxi),IF(DiffTotal,-M262,0),IF(H262&gt;=NoEchRemb,L262,IF(S262-(M262*EchFIXE)&gt;L262-2,L262,S262-(M262*EchFIXE))))+C262</x:f>
      </x:c>
      <x:c r="O262" s="332">
        <x:f>IF(OR(L262=0,H262&gt;NoEchMaxi),0,ROUND(FraisF+FraisV*L262,NbDeci))+F262</x:f>
      </x:c>
      <x:c r="P262" s="342">
        <x:f>SUM(M262:O262)</x:f>
      </x:c>
      <x:c r="Q262" s="0"/>
      <x:c r="R262" s="71">
        <x:f>IF(B262&gt;0,IF(TauxActuariel,((B262+1)^(1/NbEchAn))-1,B262/NbEchAn),R261)</x:f>
      </x:c>
      <x:c r="S262" s="70">
        <x:f>IF(E262&gt;0,E262,IF(D262&gt;0,IF(AND(EchFIXE,R262&gt;0),ROUND((L262-C262)*R262/(1-((1+R262)^-D262)),NbDeci),ROUND(L262/D262,NbDeci)),S261))</x:f>
      </x:c>
    </x:row>
    <x:row r="263" spans="1:31" x14ac:dyDescent="0.2">
      <x:c r="B263" s="334"/>
      <x:c r="C263" s="335"/>
      <x:c r="D263" s="336"/>
      <x:c r="E263" s="337"/>
      <x:c r="F263" s="338"/>
      <x:c r="H263" s="327">
        <x:f>IF(L263=0,"",H262+1)</x:f>
      </x:c>
      <x:c r="I263" s="328">
        <x:f>IF(L263&gt;0,NbEch+Différé+1-H263,"")</x:f>
      </x:c>
      <x:c r="J263" s="339">
        <x:f>IF(ISNUMBER(K263),YEAR(K263),"")</x:f>
      </x:c>
      <x:c r="K263" s="340">
        <x:f>IF(L263=0,"",IF(Ijour=0,MIN(DATE(YEAR(DebAmort),MONTH(DebAmort)+(H263-1)*Imois,Jour1),DATE(YEAR(DebAmort),MONTH(DebAmort)+1+(H263-1)*Imois,0)),DATE(YEAR(DebAmort),MONTH(DebAmort),Jour1+(H263-1)*Ijour)))</x:f>
      </x:c>
      <x:c r="L263" s="341">
        <x:f>L262-N262</x:f>
      </x:c>
      <x:c r="M263" s="331">
        <x:f>IF(H263&lt;=NoEchMaxi,ROUND(L263*R263,NbDeci),0)</x:f>
      </x:c>
      <x:c r="N263" s="330">
        <x:f>IF(OR(H263&lt;=Différé,H263&gt;NoEchMaxi),IF(DiffTotal,-M263,0),IF(H263&gt;=NoEchRemb,L263,IF(S263-(M263*EchFIXE)&gt;L263-2,L263,S263-(M263*EchFIXE))))+C263</x:f>
      </x:c>
      <x:c r="O263" s="332">
        <x:f>IF(OR(L263=0,H263&gt;NoEchMaxi),0,ROUND(FraisF+FraisV*L263,NbDeci))+F263</x:f>
      </x:c>
      <x:c r="P263" s="342">
        <x:f>SUM(M263:O263)</x:f>
      </x:c>
      <x:c r="Q263" s="0"/>
      <x:c r="R263" s="71">
        <x:f>IF(B263&gt;0,IF(TauxActuariel,((B263+1)^(1/NbEchAn))-1,B263/NbEchAn),R262)</x:f>
      </x:c>
      <x:c r="S263" s="70">
        <x:f>IF(E263&gt;0,E263,IF(D263&gt;0,IF(AND(EchFIXE,R263&gt;0),ROUND((L263-C263)*R263/(1-((1+R263)^-D263)),NbDeci),ROUND(L263/D263,NbDeci)),S262))</x:f>
      </x:c>
    </x:row>
    <x:row r="264" spans="1:31" x14ac:dyDescent="0.2">
      <x:c r="B264" s="334"/>
      <x:c r="C264" s="335"/>
      <x:c r="D264" s="336"/>
      <x:c r="E264" s="337"/>
      <x:c r="F264" s="338"/>
      <x:c r="H264" s="327">
        <x:f>IF(L264=0,"",H263+1)</x:f>
      </x:c>
      <x:c r="I264" s="328">
        <x:f>IF(L264&gt;0,NbEch+Différé+1-H264,"")</x:f>
      </x:c>
      <x:c r="J264" s="339">
        <x:f>IF(ISNUMBER(K264),YEAR(K264),"")</x:f>
      </x:c>
      <x:c r="K264" s="340">
        <x:f>IF(L264=0,"",IF(Ijour=0,MIN(DATE(YEAR(DebAmort),MONTH(DebAmort)+MoisD+(H264-1)*Imois,Jour2),DATE(YEAR(DebAmort),MONTH(DebAmort)+MoisD+1+(H264-1)*Imois,0)),DATE(YEAR(DebAmort),MONTH(DebAmort),Jour1+(H264-1)*Ijour)))</x:f>
      </x:c>
      <x:c r="L264" s="341">
        <x:f>L263-N263</x:f>
      </x:c>
      <x:c r="M264" s="331">
        <x:f>IF(H264&lt;=NoEchMaxi,ROUND(L264*R264,NbDeci),0)</x:f>
      </x:c>
      <x:c r="N264" s="330">
        <x:f>IF(OR(H264&lt;=Différé,H264&gt;NoEchMaxi),IF(DiffTotal,-M264,0),IF(H264&gt;=NoEchRemb,L264,IF(S264-(M264*EchFIXE)&gt;L264-2,L264,S264-(M264*EchFIXE))))+C264</x:f>
      </x:c>
      <x:c r="O264" s="332">
        <x:f>IF(OR(L264=0,H264&gt;NoEchMaxi),0,ROUND(FraisF+FraisV*L264,NbDeci))+F264</x:f>
      </x:c>
      <x:c r="P264" s="342">
        <x:f>SUM(M264:O264)</x:f>
      </x:c>
      <x:c r="Q264" s="0"/>
      <x:c r="R264" s="71">
        <x:f>IF(B264&gt;0,IF(TauxActuariel,((B264+1)^(1/NbEchAn))-1,B264/NbEchAn),R263)</x:f>
      </x:c>
      <x:c r="S264" s="70">
        <x:f>IF(E264&gt;0,E264,IF(D264&gt;0,IF(AND(EchFIXE,R264&gt;0),ROUND((L264-C264)*R264/(1-((1+R264)^-D264)),NbDeci),ROUND(L264/D264,NbDeci)),S263))</x:f>
      </x:c>
    </x:row>
    <x:row r="265" spans="1:31" x14ac:dyDescent="0.2">
      <x:c r="B265" s="334"/>
      <x:c r="C265" s="335"/>
      <x:c r="D265" s="336"/>
      <x:c r="E265" s="337"/>
      <x:c r="F265" s="338"/>
      <x:c r="H265" s="327">
        <x:f>IF(L265=0,"",H264+1)</x:f>
      </x:c>
      <x:c r="I265" s="328">
        <x:f>IF(L265&gt;0,NbEch+Différé+1-H265,"")</x:f>
      </x:c>
      <x:c r="J265" s="339">
        <x:f>IF(ISNUMBER(K265),YEAR(K265),"")</x:f>
      </x:c>
      <x:c r="K265" s="340">
        <x:f>IF(L265=0,"",IF(Ijour=0,MIN(DATE(YEAR(DebAmort),MONTH(DebAmort)+(H265-1)*Imois,Jour1),DATE(YEAR(DebAmort),MONTH(DebAmort)+1+(H265-1)*Imois,0)),DATE(YEAR(DebAmort),MONTH(DebAmort),Jour1+(H265-1)*Ijour)))</x:f>
      </x:c>
      <x:c r="L265" s="341">
        <x:f>L264-N264</x:f>
      </x:c>
      <x:c r="M265" s="331">
        <x:f>IF(H265&lt;=NoEchMaxi,ROUND(L265*R265,NbDeci),0)</x:f>
      </x:c>
      <x:c r="N265" s="330">
        <x:f>IF(OR(H265&lt;=Différé,H265&gt;NoEchMaxi),IF(DiffTotal,-M265,0),IF(H265&gt;=NoEchRemb,L265,IF(S265-(M265*EchFIXE)&gt;L265-2,L265,S265-(M265*EchFIXE))))+C265</x:f>
      </x:c>
      <x:c r="O265" s="332">
        <x:f>IF(OR(L265=0,H265&gt;NoEchMaxi),0,ROUND(FraisF+FraisV*L265,NbDeci))+F265</x:f>
      </x:c>
      <x:c r="P265" s="342">
        <x:f>SUM(M265:O265)</x:f>
      </x:c>
      <x:c r="Q265" s="0"/>
      <x:c r="R265" s="71">
        <x:f>IF(B265&gt;0,IF(TauxActuariel,((B265+1)^(1/NbEchAn))-1,B265/NbEchAn),R264)</x:f>
      </x:c>
      <x:c r="S265" s="70">
        <x:f>IF(E265&gt;0,E265,IF(D265&gt;0,IF(AND(EchFIXE,R265&gt;0),ROUND((L265-C265)*R265/(1-((1+R265)^-D265)),NbDeci),ROUND(L265/D265,NbDeci)),S264))</x:f>
      </x:c>
    </x:row>
    <x:row r="266" spans="1:31" x14ac:dyDescent="0.2">
      <x:c r="B266" s="334"/>
      <x:c r="C266" s="335"/>
      <x:c r="D266" s="336"/>
      <x:c r="E266" s="337"/>
      <x:c r="F266" s="338"/>
      <x:c r="H266" s="327">
        <x:f>IF(L266=0,"",H265+1)</x:f>
      </x:c>
      <x:c r="I266" s="328">
        <x:f>IF(L266&gt;0,NbEch+Différé+1-H266,"")</x:f>
      </x:c>
      <x:c r="J266" s="339">
        <x:f>IF(ISNUMBER(K266),YEAR(K266),"")</x:f>
      </x:c>
      <x:c r="K266" s="340">
        <x:f>IF(L266=0,"",IF(Ijour=0,MIN(DATE(YEAR(DebAmort),MONTH(DebAmort)+MoisD+(H266-1)*Imois,Jour2),DATE(YEAR(DebAmort),MONTH(DebAmort)+MoisD+1+(H266-1)*Imois,0)),DATE(YEAR(DebAmort),MONTH(DebAmort),Jour1+(H266-1)*Ijour)))</x:f>
      </x:c>
      <x:c r="L266" s="341">
        <x:f>L265-N265</x:f>
      </x:c>
      <x:c r="M266" s="331">
        <x:f>IF(H266&lt;=NoEchMaxi,ROUND(L266*R266,NbDeci),0)</x:f>
      </x:c>
      <x:c r="N266" s="330">
        <x:f>IF(OR(H266&lt;=Différé,H266&gt;NoEchMaxi),IF(DiffTotal,-M266,0),IF(H266&gt;=NoEchRemb,L266,IF(S266-(M266*EchFIXE)&gt;L266-2,L266,S266-(M266*EchFIXE))))+C266</x:f>
      </x:c>
      <x:c r="O266" s="332">
        <x:f>IF(OR(L266=0,H266&gt;NoEchMaxi),0,ROUND(FraisF+FraisV*L266,NbDeci))+F266</x:f>
      </x:c>
      <x:c r="P266" s="342">
        <x:f>SUM(M266:O266)</x:f>
      </x:c>
      <x:c r="Q266" s="0"/>
      <x:c r="R266" s="71">
        <x:f>IF(B266&gt;0,IF(TauxActuariel,((B266+1)^(1/NbEchAn))-1,B266/NbEchAn),R265)</x:f>
      </x:c>
      <x:c r="S266" s="70">
        <x:f>IF(E266&gt;0,E266,IF(D266&gt;0,IF(AND(EchFIXE,R266&gt;0),ROUND((L266-C266)*R266/(1-((1+R266)^-D266)),NbDeci),ROUND(L266/D266,NbDeci)),S265))</x:f>
      </x:c>
    </x:row>
    <x:row r="267" spans="1:31" x14ac:dyDescent="0.2">
      <x:c r="B267" s="334"/>
      <x:c r="C267" s="335"/>
      <x:c r="D267" s="336"/>
      <x:c r="E267" s="337"/>
      <x:c r="F267" s="338"/>
      <x:c r="H267" s="327">
        <x:f>IF(L267=0,"",H266+1)</x:f>
      </x:c>
      <x:c r="I267" s="328">
        <x:f>IF(L267&gt;0,NbEch+Différé+1-H267,"")</x:f>
      </x:c>
      <x:c r="J267" s="339">
        <x:f>IF(ISNUMBER(K267),YEAR(K267),"")</x:f>
      </x:c>
      <x:c r="K267" s="340">
        <x:f>IF(L267=0,"",IF(Ijour=0,MIN(DATE(YEAR(DebAmort),MONTH(DebAmort)+(H267-1)*Imois,Jour1),DATE(YEAR(DebAmort),MONTH(DebAmort)+1+(H267-1)*Imois,0)),DATE(YEAR(DebAmort),MONTH(DebAmort),Jour1+(H267-1)*Ijour)))</x:f>
      </x:c>
      <x:c r="L267" s="341">
        <x:f>L266-N266</x:f>
      </x:c>
      <x:c r="M267" s="331">
        <x:f>IF(H267&lt;=NoEchMaxi,ROUND(L267*R267,NbDeci),0)</x:f>
      </x:c>
      <x:c r="N267" s="330">
        <x:f>IF(OR(H267&lt;=Différé,H267&gt;NoEchMaxi),IF(DiffTotal,-M267,0),IF(H267&gt;=NoEchRemb,L267,IF(S267-(M267*EchFIXE)&gt;L267-2,L267,S267-(M267*EchFIXE))))+C267</x:f>
      </x:c>
      <x:c r="O267" s="332">
        <x:f>IF(OR(L267=0,H267&gt;NoEchMaxi),0,ROUND(FraisF+FraisV*L267,NbDeci))+F267</x:f>
      </x:c>
      <x:c r="P267" s="342">
        <x:f>SUM(M267:O267)</x:f>
      </x:c>
      <x:c r="Q267" s="0"/>
      <x:c r="R267" s="71">
        <x:f>IF(B267&gt;0,IF(TauxActuariel,((B267+1)^(1/NbEchAn))-1,B267/NbEchAn),R266)</x:f>
      </x:c>
      <x:c r="S267" s="70">
        <x:f>IF(E267&gt;0,E267,IF(D267&gt;0,IF(AND(EchFIXE,R267&gt;0),ROUND((L267-C267)*R267/(1-((1+R267)^-D267)),NbDeci),ROUND(L267/D267,NbDeci)),S266))</x:f>
      </x:c>
    </x:row>
    <x:row r="268" spans="1:31" x14ac:dyDescent="0.2">
      <x:c r="B268" s="334"/>
      <x:c r="C268" s="335"/>
      <x:c r="D268" s="336"/>
      <x:c r="E268" s="337"/>
      <x:c r="F268" s="338"/>
      <x:c r="H268" s="327">
        <x:f>IF(L268=0,"",H267+1)</x:f>
      </x:c>
      <x:c r="I268" s="328">
        <x:f>IF(L268&gt;0,NbEch+Différé+1-H268,"")</x:f>
      </x:c>
      <x:c r="J268" s="339">
        <x:f>IF(ISNUMBER(K268),YEAR(K268),"")</x:f>
      </x:c>
      <x:c r="K268" s="340">
        <x:f>IF(L268=0,"",IF(Ijour=0,MIN(DATE(YEAR(DebAmort),MONTH(DebAmort)+MoisD+(H268-1)*Imois,Jour2),DATE(YEAR(DebAmort),MONTH(DebAmort)+MoisD+1+(H268-1)*Imois,0)),DATE(YEAR(DebAmort),MONTH(DebAmort),Jour1+(H268-1)*Ijour)))</x:f>
      </x:c>
      <x:c r="L268" s="341">
        <x:f>L267-N267</x:f>
      </x:c>
      <x:c r="M268" s="331">
        <x:f>IF(H268&lt;=NoEchMaxi,ROUND(L268*R268,NbDeci),0)</x:f>
      </x:c>
      <x:c r="N268" s="330">
        <x:f>IF(OR(H268&lt;=Différé,H268&gt;NoEchMaxi),IF(DiffTotal,-M268,0),IF(H268&gt;=NoEchRemb,L268,IF(S268-(M268*EchFIXE)&gt;L268-2,L268,S268-(M268*EchFIXE))))+C268</x:f>
      </x:c>
      <x:c r="O268" s="332">
        <x:f>IF(OR(L268=0,H268&gt;NoEchMaxi),0,ROUND(FraisF+FraisV*L268,NbDeci))+F268</x:f>
      </x:c>
      <x:c r="P268" s="342">
        <x:f>SUM(M268:O268)</x:f>
      </x:c>
      <x:c r="Q268" s="0"/>
      <x:c r="R268" s="71">
        <x:f>IF(B268&gt;0,IF(TauxActuariel,((B268+1)^(1/NbEchAn))-1,B268/NbEchAn),R267)</x:f>
      </x:c>
      <x:c r="S268" s="70">
        <x:f>IF(E268&gt;0,E268,IF(D268&gt;0,IF(AND(EchFIXE,R268&gt;0),ROUND((L268-C268)*R268/(1-((1+R268)^-D268)),NbDeci),ROUND(L268/D268,NbDeci)),S267))</x:f>
      </x:c>
    </x:row>
    <x:row r="269" spans="1:31" x14ac:dyDescent="0.2">
      <x:c r="B269" s="334"/>
      <x:c r="C269" s="335"/>
      <x:c r="D269" s="336"/>
      <x:c r="E269" s="337"/>
      <x:c r="F269" s="338"/>
      <x:c r="H269" s="327">
        <x:f>IF(L269=0,"",H268+1)</x:f>
      </x:c>
      <x:c r="I269" s="328">
        <x:f>IF(L269&gt;0,NbEch+Différé+1-H269,"")</x:f>
      </x:c>
      <x:c r="J269" s="339">
        <x:f>IF(ISNUMBER(K269),YEAR(K269),"")</x:f>
      </x:c>
      <x:c r="K269" s="340">
        <x:f>IF(L269=0,"",IF(Ijour=0,MIN(DATE(YEAR(DebAmort),MONTH(DebAmort)+(H269-1)*Imois,Jour1),DATE(YEAR(DebAmort),MONTH(DebAmort)+1+(H269-1)*Imois,0)),DATE(YEAR(DebAmort),MONTH(DebAmort),Jour1+(H269-1)*Ijour)))</x:f>
      </x:c>
      <x:c r="L269" s="341">
        <x:f>L268-N268</x:f>
      </x:c>
      <x:c r="M269" s="331">
        <x:f>IF(H269&lt;=NoEchMaxi,ROUND(L269*R269,NbDeci),0)</x:f>
      </x:c>
      <x:c r="N269" s="330">
        <x:f>IF(OR(H269&lt;=Différé,H269&gt;NoEchMaxi),IF(DiffTotal,-M269,0),IF(H269&gt;=NoEchRemb,L269,IF(S269-(M269*EchFIXE)&gt;L269-2,L269,S269-(M269*EchFIXE))))+C269</x:f>
      </x:c>
      <x:c r="O269" s="332">
        <x:f>IF(OR(L269=0,H269&gt;NoEchMaxi),0,ROUND(FraisF+FraisV*L269,NbDeci))+F269</x:f>
      </x:c>
      <x:c r="P269" s="342">
        <x:f>SUM(M269:O269)</x:f>
      </x:c>
      <x:c r="Q269" s="0"/>
      <x:c r="R269" s="71">
        <x:f>IF(B269&gt;0,IF(TauxActuariel,((B269+1)^(1/NbEchAn))-1,B269/NbEchAn),R268)</x:f>
      </x:c>
      <x:c r="S269" s="70">
        <x:f>IF(E269&gt;0,E269,IF(D269&gt;0,IF(AND(EchFIXE,R269&gt;0),ROUND((L269-C269)*R269/(1-((1+R269)^-D269)),NbDeci),ROUND(L269/D269,NbDeci)),S268))</x:f>
      </x:c>
    </x:row>
    <x:row r="270" spans="1:31" x14ac:dyDescent="0.2">
      <x:c r="B270" s="334"/>
      <x:c r="C270" s="335"/>
      <x:c r="D270" s="336"/>
      <x:c r="E270" s="337"/>
      <x:c r="F270" s="338"/>
      <x:c r="H270" s="327">
        <x:f>IF(L270=0,"",H269+1)</x:f>
      </x:c>
      <x:c r="I270" s="328">
        <x:f>IF(L270&gt;0,NbEch+Différé+1-H270,"")</x:f>
      </x:c>
      <x:c r="J270" s="339">
        <x:f>IF(ISNUMBER(K270),YEAR(K270),"")</x:f>
      </x:c>
      <x:c r="K270" s="340">
        <x:f>IF(L270=0,"",IF(Ijour=0,MIN(DATE(YEAR(DebAmort),MONTH(DebAmort)+MoisD+(H270-1)*Imois,Jour2),DATE(YEAR(DebAmort),MONTH(DebAmort)+MoisD+1+(H270-1)*Imois,0)),DATE(YEAR(DebAmort),MONTH(DebAmort),Jour1+(H270-1)*Ijour)))</x:f>
      </x:c>
      <x:c r="L270" s="341">
        <x:f>L269-N269</x:f>
      </x:c>
      <x:c r="M270" s="331">
        <x:f>IF(H270&lt;=NoEchMaxi,ROUND(L270*R270,NbDeci),0)</x:f>
      </x:c>
      <x:c r="N270" s="330">
        <x:f>IF(OR(H270&lt;=Différé,H270&gt;NoEchMaxi),IF(DiffTotal,-M270,0),IF(H270&gt;=NoEchRemb,L270,IF(S270-(M270*EchFIXE)&gt;L270-2,L270,S270-(M270*EchFIXE))))+C270</x:f>
      </x:c>
      <x:c r="O270" s="332">
        <x:f>IF(OR(L270=0,H270&gt;NoEchMaxi),0,ROUND(FraisF+FraisV*L270,NbDeci))+F270</x:f>
      </x:c>
      <x:c r="P270" s="342">
        <x:f>SUM(M270:O270)</x:f>
      </x:c>
      <x:c r="Q270" s="0"/>
      <x:c r="R270" s="71">
        <x:f>IF(B270&gt;0,IF(TauxActuariel,((B270+1)^(1/NbEchAn))-1,B270/NbEchAn),R269)</x:f>
      </x:c>
      <x:c r="S270" s="70">
        <x:f>IF(E270&gt;0,E270,IF(D270&gt;0,IF(AND(EchFIXE,R270&gt;0),ROUND((L270-C270)*R270/(1-((1+R270)^-D270)),NbDeci),ROUND(L270/D270,NbDeci)),S269))</x:f>
      </x:c>
    </x:row>
    <x:row r="271" spans="1:31" x14ac:dyDescent="0.2">
      <x:c r="B271" s="334"/>
      <x:c r="C271" s="335"/>
      <x:c r="D271" s="336"/>
      <x:c r="E271" s="337"/>
      <x:c r="F271" s="338"/>
      <x:c r="H271" s="327">
        <x:f>IF(L271=0,"",H270+1)</x:f>
      </x:c>
      <x:c r="I271" s="328">
        <x:f>IF(L271&gt;0,NbEch+Différé+1-H271,"")</x:f>
      </x:c>
      <x:c r="J271" s="339">
        <x:f>IF(ISNUMBER(K271),YEAR(K271),"")</x:f>
      </x:c>
      <x:c r="K271" s="340">
        <x:f>IF(L271=0,"",IF(Ijour=0,MIN(DATE(YEAR(DebAmort),MONTH(DebAmort)+(H271-1)*Imois,Jour1),DATE(YEAR(DebAmort),MONTH(DebAmort)+1+(H271-1)*Imois,0)),DATE(YEAR(DebAmort),MONTH(DebAmort),Jour1+(H271-1)*Ijour)))</x:f>
      </x:c>
      <x:c r="L271" s="341">
        <x:f>L270-N270</x:f>
      </x:c>
      <x:c r="M271" s="331">
        <x:f>IF(H271&lt;=NoEchMaxi,ROUND(L271*R271,NbDeci),0)</x:f>
      </x:c>
      <x:c r="N271" s="330">
        <x:f>IF(OR(H271&lt;=Différé,H271&gt;NoEchMaxi),IF(DiffTotal,-M271,0),IF(H271&gt;=NoEchRemb,L271,IF(S271-(M271*EchFIXE)&gt;L271-2,L271,S271-(M271*EchFIXE))))+C271</x:f>
      </x:c>
      <x:c r="O271" s="332">
        <x:f>IF(OR(L271=0,H271&gt;NoEchMaxi),0,ROUND(FraisF+FraisV*L271,NbDeci))+F271</x:f>
      </x:c>
      <x:c r="P271" s="342">
        <x:f>SUM(M271:O271)</x:f>
      </x:c>
      <x:c r="Q271" s="0"/>
      <x:c r="R271" s="71">
        <x:f>IF(B271&gt;0,IF(TauxActuariel,((B271+1)^(1/NbEchAn))-1,B271/NbEchAn),R270)</x:f>
      </x:c>
      <x:c r="S271" s="70">
        <x:f>IF(E271&gt;0,E271,IF(D271&gt;0,IF(AND(EchFIXE,R271&gt;0),ROUND((L271-C271)*R271/(1-((1+R271)^-D271)),NbDeci),ROUND(L271/D271,NbDeci)),S270))</x:f>
      </x:c>
    </x:row>
    <x:row r="272" spans="1:31" x14ac:dyDescent="0.2">
      <x:c r="B272" s="334"/>
      <x:c r="C272" s="335"/>
      <x:c r="D272" s="336"/>
      <x:c r="E272" s="337"/>
      <x:c r="F272" s="338"/>
      <x:c r="H272" s="327">
        <x:f>IF(L272=0,"",H271+1)</x:f>
      </x:c>
      <x:c r="I272" s="328">
        <x:f>IF(L272&gt;0,NbEch+Différé+1-H272,"")</x:f>
      </x:c>
      <x:c r="J272" s="339">
        <x:f>IF(ISNUMBER(K272),YEAR(K272),"")</x:f>
      </x:c>
      <x:c r="K272" s="340">
        <x:f>IF(L272=0,"",IF(Ijour=0,MIN(DATE(YEAR(DebAmort),MONTH(DebAmort)+MoisD+(H272-1)*Imois,Jour2),DATE(YEAR(DebAmort),MONTH(DebAmort)+MoisD+1+(H272-1)*Imois,0)),DATE(YEAR(DebAmort),MONTH(DebAmort),Jour1+(H272-1)*Ijour)))</x:f>
      </x:c>
      <x:c r="L272" s="341">
        <x:f>L271-N271</x:f>
      </x:c>
      <x:c r="M272" s="331">
        <x:f>IF(H272&lt;=NoEchMaxi,ROUND(L272*R272,NbDeci),0)</x:f>
      </x:c>
      <x:c r="N272" s="330">
        <x:f>IF(OR(H272&lt;=Différé,H272&gt;NoEchMaxi),IF(DiffTotal,-M272,0),IF(H272&gt;=NoEchRemb,L272,IF(S272-(M272*EchFIXE)&gt;L272-2,L272,S272-(M272*EchFIXE))))+C272</x:f>
      </x:c>
      <x:c r="O272" s="332">
        <x:f>IF(OR(L272=0,H272&gt;NoEchMaxi),0,ROUND(FraisF+FraisV*L272,NbDeci))+F272</x:f>
      </x:c>
      <x:c r="P272" s="342">
        <x:f>SUM(M272:O272)</x:f>
      </x:c>
      <x:c r="Q272" s="0"/>
      <x:c r="R272" s="71">
        <x:f>IF(B272&gt;0,IF(TauxActuariel,((B272+1)^(1/NbEchAn))-1,B272/NbEchAn),R271)</x:f>
      </x:c>
      <x:c r="S272" s="70">
        <x:f>IF(E272&gt;0,E272,IF(D272&gt;0,IF(AND(EchFIXE,R272&gt;0),ROUND((L272-C272)*R272/(1-((1+R272)^-D272)),NbDeci),ROUND(L272/D272,NbDeci)),S271))</x:f>
      </x:c>
    </x:row>
    <x:row r="273" spans="1:31" x14ac:dyDescent="0.2">
      <x:c r="B273" s="334"/>
      <x:c r="C273" s="335"/>
      <x:c r="D273" s="336"/>
      <x:c r="E273" s="337"/>
      <x:c r="F273" s="338"/>
      <x:c r="H273" s="327">
        <x:f>IF(L273=0,"",H272+1)</x:f>
      </x:c>
      <x:c r="I273" s="328">
        <x:f>IF(L273&gt;0,NbEch+Différé+1-H273,"")</x:f>
      </x:c>
      <x:c r="J273" s="339">
        <x:f>IF(ISNUMBER(K273),YEAR(K273),"")</x:f>
      </x:c>
      <x:c r="K273" s="340">
        <x:f>IF(L273=0,"",IF(Ijour=0,MIN(DATE(YEAR(DebAmort),MONTH(DebAmort)+(H273-1)*Imois,Jour1),DATE(YEAR(DebAmort),MONTH(DebAmort)+1+(H273-1)*Imois,0)),DATE(YEAR(DebAmort),MONTH(DebAmort),Jour1+(H273-1)*Ijour)))</x:f>
      </x:c>
      <x:c r="L273" s="341">
        <x:f>L272-N272</x:f>
      </x:c>
      <x:c r="M273" s="331">
        <x:f>IF(H273&lt;=NoEchMaxi,ROUND(L273*R273,NbDeci),0)</x:f>
      </x:c>
      <x:c r="N273" s="330">
        <x:f>IF(OR(H273&lt;=Différé,H273&gt;NoEchMaxi),IF(DiffTotal,-M273,0),IF(H273&gt;=NoEchRemb,L273,IF(S273-(M273*EchFIXE)&gt;L273-2,L273,S273-(M273*EchFIXE))))+C273</x:f>
      </x:c>
      <x:c r="O273" s="332">
        <x:f>IF(OR(L273=0,H273&gt;NoEchMaxi),0,ROUND(FraisF+FraisV*L273,NbDeci))+F273</x:f>
      </x:c>
      <x:c r="P273" s="342">
        <x:f>SUM(M273:O273)</x:f>
      </x:c>
      <x:c r="Q273" s="0"/>
      <x:c r="R273" s="71">
        <x:f>IF(B273&gt;0,IF(TauxActuariel,((B273+1)^(1/NbEchAn))-1,B273/NbEchAn),R272)</x:f>
      </x:c>
      <x:c r="S273" s="70">
        <x:f>IF(E273&gt;0,E273,IF(D273&gt;0,IF(AND(EchFIXE,R273&gt;0),ROUND((L273-C273)*R273/(1-((1+R273)^-D273)),NbDeci),ROUND(L273/D273,NbDeci)),S272))</x:f>
      </x:c>
    </x:row>
    <x:row r="274" spans="1:31" x14ac:dyDescent="0.2">
      <x:c r="B274" s="334"/>
      <x:c r="C274" s="335"/>
      <x:c r="D274" s="336"/>
      <x:c r="E274" s="337"/>
      <x:c r="F274" s="338"/>
      <x:c r="H274" s="327">
        <x:f>IF(L274=0,"",H273+1)</x:f>
      </x:c>
      <x:c r="I274" s="328">
        <x:f>IF(L274&gt;0,NbEch+Différé+1-H274,"")</x:f>
      </x:c>
      <x:c r="J274" s="339">
        <x:f>IF(ISNUMBER(K274),YEAR(K274),"")</x:f>
      </x:c>
      <x:c r="K274" s="340">
        <x:f>IF(L274=0,"",IF(Ijour=0,MIN(DATE(YEAR(DebAmort),MONTH(DebAmort)+MoisD+(H274-1)*Imois,Jour2),DATE(YEAR(DebAmort),MONTH(DebAmort)+MoisD+1+(H274-1)*Imois,0)),DATE(YEAR(DebAmort),MONTH(DebAmort),Jour1+(H274-1)*Ijour)))</x:f>
      </x:c>
      <x:c r="L274" s="341">
        <x:f>L273-N273</x:f>
      </x:c>
      <x:c r="M274" s="331">
        <x:f>IF(H274&lt;=NoEchMaxi,ROUND(L274*R274,NbDeci),0)</x:f>
      </x:c>
      <x:c r="N274" s="330">
        <x:f>IF(OR(H274&lt;=Différé,H274&gt;NoEchMaxi),IF(DiffTotal,-M274,0),IF(H274&gt;=NoEchRemb,L274,IF(S274-(M274*EchFIXE)&gt;L274-2,L274,S274-(M274*EchFIXE))))+C274</x:f>
      </x:c>
      <x:c r="O274" s="332">
        <x:f>IF(OR(L274=0,H274&gt;NoEchMaxi),0,ROUND(FraisF+FraisV*L274,NbDeci))+F274</x:f>
      </x:c>
      <x:c r="P274" s="342">
        <x:f>SUM(M274:O274)</x:f>
      </x:c>
      <x:c r="Q274" s="0"/>
      <x:c r="R274" s="71">
        <x:f>IF(B274&gt;0,IF(TauxActuariel,((B274+1)^(1/NbEchAn))-1,B274/NbEchAn),R273)</x:f>
      </x:c>
      <x:c r="S274" s="70">
        <x:f>IF(E274&gt;0,E274,IF(D274&gt;0,IF(AND(EchFIXE,R274&gt;0),ROUND((L274-C274)*R274/(1-((1+R274)^-D274)),NbDeci),ROUND(L274/D274,NbDeci)),S273))</x:f>
      </x:c>
    </x:row>
    <x:row r="275" spans="1:31" x14ac:dyDescent="0.2">
      <x:c r="B275" s="334"/>
      <x:c r="C275" s="335"/>
      <x:c r="D275" s="336"/>
      <x:c r="E275" s="337"/>
      <x:c r="F275" s="338"/>
      <x:c r="H275" s="327">
        <x:f>IF(L275=0,"",H274+1)</x:f>
      </x:c>
      <x:c r="I275" s="328">
        <x:f>IF(L275&gt;0,NbEch+Différé+1-H275,"")</x:f>
      </x:c>
      <x:c r="J275" s="339">
        <x:f>IF(ISNUMBER(K275),YEAR(K275),"")</x:f>
      </x:c>
      <x:c r="K275" s="340">
        <x:f>IF(L275=0,"",IF(Ijour=0,MIN(DATE(YEAR(DebAmort),MONTH(DebAmort)+(H275-1)*Imois,Jour1),DATE(YEAR(DebAmort),MONTH(DebAmort)+1+(H275-1)*Imois,0)),DATE(YEAR(DebAmort),MONTH(DebAmort),Jour1+(H275-1)*Ijour)))</x:f>
      </x:c>
      <x:c r="L275" s="341">
        <x:f>L274-N274</x:f>
      </x:c>
      <x:c r="M275" s="331">
        <x:f>IF(H275&lt;=NoEchMaxi,ROUND(L275*R275,NbDeci),0)</x:f>
      </x:c>
      <x:c r="N275" s="330">
        <x:f>IF(OR(H275&lt;=Différé,H275&gt;NoEchMaxi),IF(DiffTotal,-M275,0),IF(H275&gt;=NoEchRemb,L275,IF(S275-(M275*EchFIXE)&gt;L275-2,L275,S275-(M275*EchFIXE))))+C275</x:f>
      </x:c>
      <x:c r="O275" s="332">
        <x:f>IF(OR(L275=0,H275&gt;NoEchMaxi),0,ROUND(FraisF+FraisV*L275,NbDeci))+F275</x:f>
      </x:c>
      <x:c r="P275" s="342">
        <x:f>SUM(M275:O275)</x:f>
      </x:c>
      <x:c r="Q275" s="0"/>
      <x:c r="R275" s="71">
        <x:f>IF(B275&gt;0,IF(TauxActuariel,((B275+1)^(1/NbEchAn))-1,B275/NbEchAn),R274)</x:f>
      </x:c>
      <x:c r="S275" s="70">
        <x:f>IF(E275&gt;0,E275,IF(D275&gt;0,IF(AND(EchFIXE,R275&gt;0),ROUND((L275-C275)*R275/(1-((1+R275)^-D275)),NbDeci),ROUND(L275/D275,NbDeci)),S274))</x:f>
      </x:c>
    </x:row>
    <x:row r="276" spans="1:31" x14ac:dyDescent="0.2">
      <x:c r="B276" s="334"/>
      <x:c r="C276" s="335"/>
      <x:c r="D276" s="336"/>
      <x:c r="E276" s="337"/>
      <x:c r="F276" s="338"/>
      <x:c r="H276" s="327">
        <x:f>IF(L276=0,"",H275+1)</x:f>
      </x:c>
      <x:c r="I276" s="328">
        <x:f>IF(L276&gt;0,NbEch+Différé+1-H276,"")</x:f>
      </x:c>
      <x:c r="J276" s="339">
        <x:f>IF(ISNUMBER(K276),YEAR(K276),"")</x:f>
      </x:c>
      <x:c r="K276" s="340">
        <x:f>IF(L276=0,"",IF(Ijour=0,MIN(DATE(YEAR(DebAmort),MONTH(DebAmort)+MoisD+(H276-1)*Imois,Jour2),DATE(YEAR(DebAmort),MONTH(DebAmort)+MoisD+1+(H276-1)*Imois,0)),DATE(YEAR(DebAmort),MONTH(DebAmort),Jour1+(H276-1)*Ijour)))</x:f>
      </x:c>
      <x:c r="L276" s="341">
        <x:f>L275-N275</x:f>
      </x:c>
      <x:c r="M276" s="331">
        <x:f>IF(H276&lt;=NoEchMaxi,ROUND(L276*R276,NbDeci),0)</x:f>
      </x:c>
      <x:c r="N276" s="330">
        <x:f>IF(OR(H276&lt;=Différé,H276&gt;NoEchMaxi),IF(DiffTotal,-M276,0),IF(H276&gt;=NoEchRemb,L276,IF(S276-(M276*EchFIXE)&gt;L276-2,L276,S276-(M276*EchFIXE))))+C276</x:f>
      </x:c>
      <x:c r="O276" s="332">
        <x:f>IF(OR(L276=0,H276&gt;NoEchMaxi),0,ROUND(FraisF+FraisV*L276,NbDeci))+F276</x:f>
      </x:c>
      <x:c r="P276" s="342">
        <x:f>SUM(M276:O276)</x:f>
      </x:c>
      <x:c r="Q276" s="0"/>
      <x:c r="R276" s="71">
        <x:f>IF(B276&gt;0,IF(TauxActuariel,((B276+1)^(1/NbEchAn))-1,B276/NbEchAn),R275)</x:f>
      </x:c>
      <x:c r="S276" s="70">
        <x:f>IF(E276&gt;0,E276,IF(D276&gt;0,IF(AND(EchFIXE,R276&gt;0),ROUND((L276-C276)*R276/(1-((1+R276)^-D276)),NbDeci),ROUND(L276/D276,NbDeci)),S275))</x:f>
      </x:c>
    </x:row>
    <x:row r="277" spans="1:31" x14ac:dyDescent="0.2">
      <x:c r="B277" s="334"/>
      <x:c r="C277" s="335"/>
      <x:c r="D277" s="336"/>
      <x:c r="E277" s="337"/>
      <x:c r="F277" s="338"/>
      <x:c r="H277" s="327">
        <x:f>IF(L277=0,"",H276+1)</x:f>
      </x:c>
      <x:c r="I277" s="328">
        <x:f>IF(L277&gt;0,NbEch+Différé+1-H277,"")</x:f>
      </x:c>
      <x:c r="J277" s="339">
        <x:f>IF(ISNUMBER(K277),YEAR(K277),"")</x:f>
      </x:c>
      <x:c r="K277" s="340">
        <x:f>IF(L277=0,"",IF(Ijour=0,MIN(DATE(YEAR(DebAmort),MONTH(DebAmort)+(H277-1)*Imois,Jour1),DATE(YEAR(DebAmort),MONTH(DebAmort)+1+(H277-1)*Imois,0)),DATE(YEAR(DebAmort),MONTH(DebAmort),Jour1+(H277-1)*Ijour)))</x:f>
      </x:c>
      <x:c r="L277" s="341">
        <x:f>L276-N276</x:f>
      </x:c>
      <x:c r="M277" s="331">
        <x:f>IF(H277&lt;=NoEchMaxi,ROUND(L277*R277,NbDeci),0)</x:f>
      </x:c>
      <x:c r="N277" s="330">
        <x:f>IF(OR(H277&lt;=Différé,H277&gt;NoEchMaxi),IF(DiffTotal,-M277,0),IF(H277&gt;=NoEchRemb,L277,IF(S277-(M277*EchFIXE)&gt;L277-2,L277,S277-(M277*EchFIXE))))+C277</x:f>
      </x:c>
      <x:c r="O277" s="332">
        <x:f>IF(OR(L277=0,H277&gt;NoEchMaxi),0,ROUND(FraisF+FraisV*L277,NbDeci))+F277</x:f>
      </x:c>
      <x:c r="P277" s="342">
        <x:f>SUM(M277:O277)</x:f>
      </x:c>
      <x:c r="Q277" s="0"/>
      <x:c r="R277" s="71">
        <x:f>IF(B277&gt;0,IF(TauxActuariel,((B277+1)^(1/NbEchAn))-1,B277/NbEchAn),R276)</x:f>
      </x:c>
      <x:c r="S277" s="70">
        <x:f>IF(E277&gt;0,E277,IF(D277&gt;0,IF(AND(EchFIXE,R277&gt;0),ROUND((L277-C277)*R277/(1-((1+R277)^-D277)),NbDeci),ROUND(L277/D277,NbDeci)),S276))</x:f>
      </x:c>
    </x:row>
    <x:row r="278" spans="1:31" x14ac:dyDescent="0.2">
      <x:c r="B278" s="334"/>
      <x:c r="C278" s="335"/>
      <x:c r="D278" s="336"/>
      <x:c r="E278" s="337"/>
      <x:c r="F278" s="338"/>
      <x:c r="H278" s="327">
        <x:f>IF(L278=0,"",H277+1)</x:f>
      </x:c>
      <x:c r="I278" s="328">
        <x:f>IF(L278&gt;0,NbEch+Différé+1-H278,"")</x:f>
      </x:c>
      <x:c r="J278" s="339">
        <x:f>IF(ISNUMBER(K278),YEAR(K278),"")</x:f>
      </x:c>
      <x:c r="K278" s="340">
        <x:f>IF(L278=0,"",IF(Ijour=0,MIN(DATE(YEAR(DebAmort),MONTH(DebAmort)+MoisD+(H278-1)*Imois,Jour2),DATE(YEAR(DebAmort),MONTH(DebAmort)+MoisD+1+(H278-1)*Imois,0)),DATE(YEAR(DebAmort),MONTH(DebAmort),Jour1+(H278-1)*Ijour)))</x:f>
      </x:c>
      <x:c r="L278" s="341">
        <x:f>L277-N277</x:f>
      </x:c>
      <x:c r="M278" s="331">
        <x:f>IF(H278&lt;=NoEchMaxi,ROUND(L278*R278,NbDeci),0)</x:f>
      </x:c>
      <x:c r="N278" s="330">
        <x:f>IF(OR(H278&lt;=Différé,H278&gt;NoEchMaxi),IF(DiffTotal,-M278,0),IF(H278&gt;=NoEchRemb,L278,IF(S278-(M278*EchFIXE)&gt;L278-2,L278,S278-(M278*EchFIXE))))+C278</x:f>
      </x:c>
      <x:c r="O278" s="332">
        <x:f>IF(OR(L278=0,H278&gt;NoEchMaxi),0,ROUND(FraisF+FraisV*L278,NbDeci))+F278</x:f>
      </x:c>
      <x:c r="P278" s="342">
        <x:f>SUM(M278:O278)</x:f>
      </x:c>
      <x:c r="Q278" s="0"/>
      <x:c r="R278" s="71">
        <x:f>IF(B278&gt;0,IF(TauxActuariel,((B278+1)^(1/NbEchAn))-1,B278/NbEchAn),R277)</x:f>
      </x:c>
      <x:c r="S278" s="70">
        <x:f>IF(E278&gt;0,E278,IF(D278&gt;0,IF(AND(EchFIXE,R278&gt;0),ROUND((L278-C278)*R278/(1-((1+R278)^-D278)),NbDeci),ROUND(L278/D278,NbDeci)),S277))</x:f>
      </x:c>
    </x:row>
    <x:row r="279" spans="1:31" x14ac:dyDescent="0.2">
      <x:c r="B279" s="334"/>
      <x:c r="C279" s="335"/>
      <x:c r="D279" s="336"/>
      <x:c r="E279" s="337"/>
      <x:c r="F279" s="338"/>
      <x:c r="H279" s="327">
        <x:f>IF(L279=0,"",H278+1)</x:f>
      </x:c>
      <x:c r="I279" s="328">
        <x:f>IF(L279&gt;0,NbEch+Différé+1-H279,"")</x:f>
      </x:c>
      <x:c r="J279" s="339">
        <x:f>IF(ISNUMBER(K279),YEAR(K279),"")</x:f>
      </x:c>
      <x:c r="K279" s="340">
        <x:f>IF(L279=0,"",IF(Ijour=0,MIN(DATE(YEAR(DebAmort),MONTH(DebAmort)+(H279-1)*Imois,Jour1),DATE(YEAR(DebAmort),MONTH(DebAmort)+1+(H279-1)*Imois,0)),DATE(YEAR(DebAmort),MONTH(DebAmort),Jour1+(H279-1)*Ijour)))</x:f>
      </x:c>
      <x:c r="L279" s="341">
        <x:f>L278-N278</x:f>
      </x:c>
      <x:c r="M279" s="331">
        <x:f>IF(H279&lt;=NoEchMaxi,ROUND(L279*R279,NbDeci),0)</x:f>
      </x:c>
      <x:c r="N279" s="330">
        <x:f>IF(OR(H279&lt;=Différé,H279&gt;NoEchMaxi),IF(DiffTotal,-M279,0),IF(H279&gt;=NoEchRemb,L279,IF(S279-(M279*EchFIXE)&gt;L279-2,L279,S279-(M279*EchFIXE))))+C279</x:f>
      </x:c>
      <x:c r="O279" s="332">
        <x:f>IF(OR(L279=0,H279&gt;NoEchMaxi),0,ROUND(FraisF+FraisV*L279,NbDeci))+F279</x:f>
      </x:c>
      <x:c r="P279" s="342">
        <x:f>SUM(M279:O279)</x:f>
      </x:c>
      <x:c r="Q279" s="0"/>
      <x:c r="R279" s="71">
        <x:f>IF(B279&gt;0,IF(TauxActuariel,((B279+1)^(1/NbEchAn))-1,B279/NbEchAn),R278)</x:f>
      </x:c>
      <x:c r="S279" s="70">
        <x:f>IF(E279&gt;0,E279,IF(D279&gt;0,IF(AND(EchFIXE,R279&gt;0),ROUND((L279-C279)*R279/(1-((1+R279)^-D279)),NbDeci),ROUND(L279/D279,NbDeci)),S278))</x:f>
      </x:c>
    </x:row>
    <x:row r="280" spans="1:31" x14ac:dyDescent="0.2">
      <x:c r="B280" s="334"/>
      <x:c r="C280" s="335"/>
      <x:c r="D280" s="336"/>
      <x:c r="E280" s="337"/>
      <x:c r="F280" s="338"/>
      <x:c r="H280" s="327">
        <x:f>IF(L280=0,"",H279+1)</x:f>
      </x:c>
      <x:c r="I280" s="328">
        <x:f>IF(L280&gt;0,NbEch+Différé+1-H280,"")</x:f>
      </x:c>
      <x:c r="J280" s="339">
        <x:f>IF(ISNUMBER(K280),YEAR(K280),"")</x:f>
      </x:c>
      <x:c r="K280" s="340">
        <x:f>IF(L280=0,"",IF(Ijour=0,MIN(DATE(YEAR(DebAmort),MONTH(DebAmort)+MoisD+(H280-1)*Imois,Jour2),DATE(YEAR(DebAmort),MONTH(DebAmort)+MoisD+1+(H280-1)*Imois,0)),DATE(YEAR(DebAmort),MONTH(DebAmort),Jour1+(H280-1)*Ijour)))</x:f>
      </x:c>
      <x:c r="L280" s="341">
        <x:f>L279-N279</x:f>
      </x:c>
      <x:c r="M280" s="331">
        <x:f>IF(H280&lt;=NoEchMaxi,ROUND(L280*R280,NbDeci),0)</x:f>
      </x:c>
      <x:c r="N280" s="330">
        <x:f>IF(OR(H280&lt;=Différé,H280&gt;NoEchMaxi),IF(DiffTotal,-M280,0),IF(H280&gt;=NoEchRemb,L280,IF(S280-(M280*EchFIXE)&gt;L280-2,L280,S280-(M280*EchFIXE))))+C280</x:f>
      </x:c>
      <x:c r="O280" s="332">
        <x:f>IF(OR(L280=0,H280&gt;NoEchMaxi),0,ROUND(FraisF+FraisV*L280,NbDeci))+F280</x:f>
      </x:c>
      <x:c r="P280" s="342">
        <x:f>SUM(M280:O280)</x:f>
      </x:c>
      <x:c r="Q280" s="0"/>
      <x:c r="R280" s="71">
        <x:f>IF(B280&gt;0,IF(TauxActuariel,((B280+1)^(1/NbEchAn))-1,B280/NbEchAn),R279)</x:f>
      </x:c>
      <x:c r="S280" s="70">
        <x:f>IF(E280&gt;0,E280,IF(D280&gt;0,IF(AND(EchFIXE,R280&gt;0),ROUND((L280-C280)*R280/(1-((1+R280)^-D280)),NbDeci),ROUND(L280/D280,NbDeci)),S279))</x:f>
      </x:c>
    </x:row>
    <x:row r="281" spans="1:31" x14ac:dyDescent="0.2">
      <x:c r="B281" s="334"/>
      <x:c r="C281" s="335"/>
      <x:c r="D281" s="336"/>
      <x:c r="E281" s="337"/>
      <x:c r="F281" s="338"/>
      <x:c r="H281" s="327">
        <x:f>IF(L281=0,"",H280+1)</x:f>
      </x:c>
      <x:c r="I281" s="328">
        <x:f>IF(L281&gt;0,NbEch+Différé+1-H281,"")</x:f>
      </x:c>
      <x:c r="J281" s="339">
        <x:f>IF(ISNUMBER(K281),YEAR(K281),"")</x:f>
      </x:c>
      <x:c r="K281" s="340">
        <x:f>IF(L281=0,"",IF(Ijour=0,MIN(DATE(YEAR(DebAmort),MONTH(DebAmort)+(H281-1)*Imois,Jour1),DATE(YEAR(DebAmort),MONTH(DebAmort)+1+(H281-1)*Imois,0)),DATE(YEAR(DebAmort),MONTH(DebAmort),Jour1+(H281-1)*Ijour)))</x:f>
      </x:c>
      <x:c r="L281" s="341">
        <x:f>L280-N280</x:f>
      </x:c>
      <x:c r="M281" s="331">
        <x:f>IF(H281&lt;=NoEchMaxi,ROUND(L281*R281,NbDeci),0)</x:f>
      </x:c>
      <x:c r="N281" s="330">
        <x:f>IF(OR(H281&lt;=Différé,H281&gt;NoEchMaxi),IF(DiffTotal,-M281,0),IF(H281&gt;=NoEchRemb,L281,IF(S281-(M281*EchFIXE)&gt;L281-2,L281,S281-(M281*EchFIXE))))+C281</x:f>
      </x:c>
      <x:c r="O281" s="332">
        <x:f>IF(OR(L281=0,H281&gt;NoEchMaxi),0,ROUND(FraisF+FraisV*L281,NbDeci))+F281</x:f>
      </x:c>
      <x:c r="P281" s="342">
        <x:f>SUM(M281:O281)</x:f>
      </x:c>
      <x:c r="Q281" s="0"/>
      <x:c r="R281" s="71">
        <x:f>IF(B281&gt;0,IF(TauxActuariel,((B281+1)^(1/NbEchAn))-1,B281/NbEchAn),R280)</x:f>
      </x:c>
      <x:c r="S281" s="70">
        <x:f>IF(E281&gt;0,E281,IF(D281&gt;0,IF(AND(EchFIXE,R281&gt;0),ROUND((L281-C281)*R281/(1-((1+R281)^-D281)),NbDeci),ROUND(L281/D281,NbDeci)),S280))</x:f>
      </x:c>
    </x:row>
    <x:row r="282" spans="1:31" x14ac:dyDescent="0.2">
      <x:c r="B282" s="334"/>
      <x:c r="C282" s="335"/>
      <x:c r="D282" s="336"/>
      <x:c r="E282" s="337"/>
      <x:c r="F282" s="338"/>
      <x:c r="H282" s="327">
        <x:f>IF(L282=0,"",H281+1)</x:f>
      </x:c>
      <x:c r="I282" s="328">
        <x:f>IF(L282&gt;0,NbEch+Différé+1-H282,"")</x:f>
      </x:c>
      <x:c r="J282" s="339">
        <x:f>IF(ISNUMBER(K282),YEAR(K282),"")</x:f>
      </x:c>
      <x:c r="K282" s="340">
        <x:f>IF(L282=0,"",IF(Ijour=0,MIN(DATE(YEAR(DebAmort),MONTH(DebAmort)+MoisD+(H282-1)*Imois,Jour2),DATE(YEAR(DebAmort),MONTH(DebAmort)+MoisD+1+(H282-1)*Imois,0)),DATE(YEAR(DebAmort),MONTH(DebAmort),Jour1+(H282-1)*Ijour)))</x:f>
      </x:c>
      <x:c r="L282" s="341">
        <x:f>L281-N281</x:f>
      </x:c>
      <x:c r="M282" s="331">
        <x:f>IF(H282&lt;=NoEchMaxi,ROUND(L282*R282,NbDeci),0)</x:f>
      </x:c>
      <x:c r="N282" s="330">
        <x:f>IF(OR(H282&lt;=Différé,H282&gt;NoEchMaxi),IF(DiffTotal,-M282,0),IF(H282&gt;=NoEchRemb,L282,IF(S282-(M282*EchFIXE)&gt;L282-2,L282,S282-(M282*EchFIXE))))+C282</x:f>
      </x:c>
      <x:c r="O282" s="332">
        <x:f>IF(OR(L282=0,H282&gt;NoEchMaxi),0,ROUND(FraisF+FraisV*L282,NbDeci))+F282</x:f>
      </x:c>
      <x:c r="P282" s="342">
        <x:f>SUM(M282:O282)</x:f>
      </x:c>
      <x:c r="Q282" s="0"/>
      <x:c r="R282" s="71">
        <x:f>IF(B282&gt;0,IF(TauxActuariel,((B282+1)^(1/NbEchAn))-1,B282/NbEchAn),R281)</x:f>
      </x:c>
      <x:c r="S282" s="70">
        <x:f>IF(E282&gt;0,E282,IF(D282&gt;0,IF(AND(EchFIXE,R282&gt;0),ROUND((L282-C282)*R282/(1-((1+R282)^-D282)),NbDeci),ROUND(L282/D282,NbDeci)),S281))</x:f>
      </x:c>
    </x:row>
    <x:row r="283" spans="1:31" x14ac:dyDescent="0.2">
      <x:c r="B283" s="334"/>
      <x:c r="C283" s="335"/>
      <x:c r="D283" s="336"/>
      <x:c r="E283" s="337"/>
      <x:c r="F283" s="338"/>
      <x:c r="H283" s="327">
        <x:f>IF(L283=0,"",H282+1)</x:f>
      </x:c>
      <x:c r="I283" s="328">
        <x:f>IF(L283&gt;0,NbEch+Différé+1-H283,"")</x:f>
      </x:c>
      <x:c r="J283" s="339">
        <x:f>IF(ISNUMBER(K283),YEAR(K283),"")</x:f>
      </x:c>
      <x:c r="K283" s="340">
        <x:f>IF(L283=0,"",IF(Ijour=0,MIN(DATE(YEAR(DebAmort),MONTH(DebAmort)+(H283-1)*Imois,Jour1),DATE(YEAR(DebAmort),MONTH(DebAmort)+1+(H283-1)*Imois,0)),DATE(YEAR(DebAmort),MONTH(DebAmort),Jour1+(H283-1)*Ijour)))</x:f>
      </x:c>
      <x:c r="L283" s="341">
        <x:f>L282-N282</x:f>
      </x:c>
      <x:c r="M283" s="331">
        <x:f>IF(H283&lt;=NoEchMaxi,ROUND(L283*R283,NbDeci),0)</x:f>
      </x:c>
      <x:c r="N283" s="330">
        <x:f>IF(OR(H283&lt;=Différé,H283&gt;NoEchMaxi),IF(DiffTotal,-M283,0),IF(H283&gt;=NoEchRemb,L283,IF(S283-(M283*EchFIXE)&gt;L283-2,L283,S283-(M283*EchFIXE))))+C283</x:f>
      </x:c>
      <x:c r="O283" s="332">
        <x:f>IF(OR(L283=0,H283&gt;NoEchMaxi),0,ROUND(FraisF+FraisV*L283,NbDeci))+F283</x:f>
      </x:c>
      <x:c r="P283" s="342">
        <x:f>SUM(M283:O283)</x:f>
      </x:c>
      <x:c r="Q283" s="0"/>
      <x:c r="R283" s="71">
        <x:f>IF(B283&gt;0,IF(TauxActuariel,((B283+1)^(1/NbEchAn))-1,B283/NbEchAn),R282)</x:f>
      </x:c>
      <x:c r="S283" s="70">
        <x:f>IF(E283&gt;0,E283,IF(D283&gt;0,IF(AND(EchFIXE,R283&gt;0),ROUND((L283-C283)*R283/(1-((1+R283)^-D283)),NbDeci),ROUND(L283/D283,NbDeci)),S282))</x:f>
      </x:c>
    </x:row>
    <x:row r="284" spans="1:31" x14ac:dyDescent="0.2">
      <x:c r="B284" s="334"/>
      <x:c r="C284" s="335"/>
      <x:c r="D284" s="336"/>
      <x:c r="E284" s="337"/>
      <x:c r="F284" s="338"/>
      <x:c r="H284" s="327">
        <x:f>IF(L284=0,"",H283+1)</x:f>
      </x:c>
      <x:c r="I284" s="328">
        <x:f>IF(L284&gt;0,NbEch+Différé+1-H284,"")</x:f>
      </x:c>
      <x:c r="J284" s="339">
        <x:f>IF(ISNUMBER(K284),YEAR(K284),"")</x:f>
      </x:c>
      <x:c r="K284" s="340">
        <x:f>IF(L284=0,"",IF(Ijour=0,MIN(DATE(YEAR(DebAmort),MONTH(DebAmort)+MoisD+(H284-1)*Imois,Jour2),DATE(YEAR(DebAmort),MONTH(DebAmort)+MoisD+1+(H284-1)*Imois,0)),DATE(YEAR(DebAmort),MONTH(DebAmort),Jour1+(H284-1)*Ijour)))</x:f>
      </x:c>
      <x:c r="L284" s="341">
        <x:f>L283-N283</x:f>
      </x:c>
      <x:c r="M284" s="331">
        <x:f>IF(H284&lt;=NoEchMaxi,ROUND(L284*R284,NbDeci),0)</x:f>
      </x:c>
      <x:c r="N284" s="330">
        <x:f>IF(OR(H284&lt;=Différé,H284&gt;NoEchMaxi),IF(DiffTotal,-M284,0),IF(H284&gt;=NoEchRemb,L284,IF(S284-(M284*EchFIXE)&gt;L284-2,L284,S284-(M284*EchFIXE))))+C284</x:f>
      </x:c>
      <x:c r="O284" s="332">
        <x:f>IF(OR(L284=0,H284&gt;NoEchMaxi),0,ROUND(FraisF+FraisV*L284,NbDeci))+F284</x:f>
      </x:c>
      <x:c r="P284" s="342">
        <x:f>SUM(M284:O284)</x:f>
      </x:c>
      <x:c r="Q284" s="0"/>
      <x:c r="R284" s="71">
        <x:f>IF(B284&gt;0,IF(TauxActuariel,((B284+1)^(1/NbEchAn))-1,B284/NbEchAn),R283)</x:f>
      </x:c>
      <x:c r="S284" s="70">
        <x:f>IF(E284&gt;0,E284,IF(D284&gt;0,IF(AND(EchFIXE,R284&gt;0),ROUND((L284-C284)*R284/(1-((1+R284)^-D284)),NbDeci),ROUND(L284/D284,NbDeci)),S283))</x:f>
      </x:c>
    </x:row>
    <x:row r="285" spans="1:31" x14ac:dyDescent="0.2">
      <x:c r="B285" s="334"/>
      <x:c r="C285" s="335"/>
      <x:c r="D285" s="336"/>
      <x:c r="E285" s="337"/>
      <x:c r="F285" s="338"/>
      <x:c r="H285" s="327">
        <x:f>IF(L285=0,"",H284+1)</x:f>
      </x:c>
      <x:c r="I285" s="328">
        <x:f>IF(L285&gt;0,NbEch+Différé+1-H285,"")</x:f>
      </x:c>
      <x:c r="J285" s="339">
        <x:f>IF(ISNUMBER(K285),YEAR(K285),"")</x:f>
      </x:c>
      <x:c r="K285" s="340">
        <x:f>IF(L285=0,"",IF(Ijour=0,MIN(DATE(YEAR(DebAmort),MONTH(DebAmort)+(H285-1)*Imois,Jour1),DATE(YEAR(DebAmort),MONTH(DebAmort)+1+(H285-1)*Imois,0)),DATE(YEAR(DebAmort),MONTH(DebAmort),Jour1+(H285-1)*Ijour)))</x:f>
      </x:c>
      <x:c r="L285" s="341">
        <x:f>L284-N284</x:f>
      </x:c>
      <x:c r="M285" s="331">
        <x:f>IF(H285&lt;=NoEchMaxi,ROUND(L285*R285,NbDeci),0)</x:f>
      </x:c>
      <x:c r="N285" s="330">
        <x:f>IF(OR(H285&lt;=Différé,H285&gt;NoEchMaxi),IF(DiffTotal,-M285,0),IF(H285&gt;=NoEchRemb,L285,IF(S285-(M285*EchFIXE)&gt;L285-2,L285,S285-(M285*EchFIXE))))+C285</x:f>
      </x:c>
      <x:c r="O285" s="332">
        <x:f>IF(OR(L285=0,H285&gt;NoEchMaxi),0,ROUND(FraisF+FraisV*L285,NbDeci))+F285</x:f>
      </x:c>
      <x:c r="P285" s="342">
        <x:f>SUM(M285:O285)</x:f>
      </x:c>
      <x:c r="Q285" s="0"/>
      <x:c r="R285" s="71">
        <x:f>IF(B285&gt;0,IF(TauxActuariel,((B285+1)^(1/NbEchAn))-1,B285/NbEchAn),R284)</x:f>
      </x:c>
      <x:c r="S285" s="70">
        <x:f>IF(E285&gt;0,E285,IF(D285&gt;0,IF(AND(EchFIXE,R285&gt;0),ROUND((L285-C285)*R285/(1-((1+R285)^-D285)),NbDeci),ROUND(L285/D285,NbDeci)),S284))</x:f>
      </x:c>
    </x:row>
    <x:row r="286" spans="1:31" x14ac:dyDescent="0.2">
      <x:c r="B286" s="334"/>
      <x:c r="C286" s="335"/>
      <x:c r="D286" s="336"/>
      <x:c r="E286" s="337"/>
      <x:c r="F286" s="338"/>
      <x:c r="H286" s="327">
        <x:f>IF(L286=0,"",H285+1)</x:f>
      </x:c>
      <x:c r="I286" s="328">
        <x:f>IF(L286&gt;0,NbEch+Différé+1-H286,"")</x:f>
      </x:c>
      <x:c r="J286" s="339">
        <x:f>IF(ISNUMBER(K286),YEAR(K286),"")</x:f>
      </x:c>
      <x:c r="K286" s="340">
        <x:f>IF(L286=0,"",IF(Ijour=0,MIN(DATE(YEAR(DebAmort),MONTH(DebAmort)+MoisD+(H286-1)*Imois,Jour2),DATE(YEAR(DebAmort),MONTH(DebAmort)+MoisD+1+(H286-1)*Imois,0)),DATE(YEAR(DebAmort),MONTH(DebAmort),Jour1+(H286-1)*Ijour)))</x:f>
      </x:c>
      <x:c r="L286" s="341">
        <x:f>L285-N285</x:f>
      </x:c>
      <x:c r="M286" s="331">
        <x:f>IF(H286&lt;=NoEchMaxi,ROUND(L286*R286,NbDeci),0)</x:f>
      </x:c>
      <x:c r="N286" s="330">
        <x:f>IF(OR(H286&lt;=Différé,H286&gt;NoEchMaxi),IF(DiffTotal,-M286,0),IF(H286&gt;=NoEchRemb,L286,IF(S286-(M286*EchFIXE)&gt;L286-2,L286,S286-(M286*EchFIXE))))+C286</x:f>
      </x:c>
      <x:c r="O286" s="332">
        <x:f>IF(OR(L286=0,H286&gt;NoEchMaxi),0,ROUND(FraisF+FraisV*L286,NbDeci))+F286</x:f>
      </x:c>
      <x:c r="P286" s="342">
        <x:f>SUM(M286:O286)</x:f>
      </x:c>
      <x:c r="Q286" s="0"/>
      <x:c r="R286" s="71">
        <x:f>IF(B286&gt;0,IF(TauxActuariel,((B286+1)^(1/NbEchAn))-1,B286/NbEchAn),R285)</x:f>
      </x:c>
      <x:c r="S286" s="70">
        <x:f>IF(E286&gt;0,E286,IF(D286&gt;0,IF(AND(EchFIXE,R286&gt;0),ROUND((L286-C286)*R286/(1-((1+R286)^-D286)),NbDeci),ROUND(L286/D286,NbDeci)),S285))</x:f>
      </x:c>
    </x:row>
    <x:row r="287" spans="1:31" x14ac:dyDescent="0.2">
      <x:c r="B287" s="334"/>
      <x:c r="C287" s="335"/>
      <x:c r="D287" s="336"/>
      <x:c r="E287" s="337"/>
      <x:c r="F287" s="338"/>
      <x:c r="H287" s="327">
        <x:f>IF(L287=0,"",H286+1)</x:f>
      </x:c>
      <x:c r="I287" s="328">
        <x:f>IF(L287&gt;0,NbEch+Différé+1-H287,"")</x:f>
      </x:c>
      <x:c r="J287" s="339">
        <x:f>IF(ISNUMBER(K287),YEAR(K287),"")</x:f>
      </x:c>
      <x:c r="K287" s="340">
        <x:f>IF(L287=0,"",IF(Ijour=0,MIN(DATE(YEAR(DebAmort),MONTH(DebAmort)+(H287-1)*Imois,Jour1),DATE(YEAR(DebAmort),MONTH(DebAmort)+1+(H287-1)*Imois,0)),DATE(YEAR(DebAmort),MONTH(DebAmort),Jour1+(H287-1)*Ijour)))</x:f>
      </x:c>
      <x:c r="L287" s="341">
        <x:f>L286-N286</x:f>
      </x:c>
      <x:c r="M287" s="331">
        <x:f>IF(H287&lt;=NoEchMaxi,ROUND(L287*R287,NbDeci),0)</x:f>
      </x:c>
      <x:c r="N287" s="330">
        <x:f>IF(OR(H287&lt;=Différé,H287&gt;NoEchMaxi),IF(DiffTotal,-M287,0),IF(H287&gt;=NoEchRemb,L287,IF(S287-(M287*EchFIXE)&gt;L287-2,L287,S287-(M287*EchFIXE))))+C287</x:f>
      </x:c>
      <x:c r="O287" s="332">
        <x:f>IF(OR(L287=0,H287&gt;NoEchMaxi),0,ROUND(FraisF+FraisV*L287,NbDeci))+F287</x:f>
      </x:c>
      <x:c r="P287" s="342">
        <x:f>SUM(M287:O287)</x:f>
      </x:c>
      <x:c r="Q287" s="0"/>
      <x:c r="R287" s="71">
        <x:f>IF(B287&gt;0,IF(TauxActuariel,((B287+1)^(1/NbEchAn))-1,B287/NbEchAn),R286)</x:f>
      </x:c>
      <x:c r="S287" s="70">
        <x:f>IF(E287&gt;0,E287,IF(D287&gt;0,IF(AND(EchFIXE,R287&gt;0),ROUND((L287-C287)*R287/(1-((1+R287)^-D287)),NbDeci),ROUND(L287/D287,NbDeci)),S286))</x:f>
      </x:c>
    </x:row>
    <x:row r="288" spans="1:31" x14ac:dyDescent="0.2">
      <x:c r="B288" s="334"/>
      <x:c r="C288" s="335"/>
      <x:c r="D288" s="336"/>
      <x:c r="E288" s="337"/>
      <x:c r="F288" s="338"/>
      <x:c r="H288" s="327">
        <x:f>IF(L288=0,"",H287+1)</x:f>
      </x:c>
      <x:c r="I288" s="328">
        <x:f>IF(L288&gt;0,NbEch+Différé+1-H288,"")</x:f>
      </x:c>
      <x:c r="J288" s="339">
        <x:f>IF(ISNUMBER(K288),YEAR(K288),"")</x:f>
      </x:c>
      <x:c r="K288" s="340">
        <x:f>IF(L288=0,"",IF(Ijour=0,MIN(DATE(YEAR(DebAmort),MONTH(DebAmort)+MoisD+(H288-1)*Imois,Jour2),DATE(YEAR(DebAmort),MONTH(DebAmort)+MoisD+1+(H288-1)*Imois,0)),DATE(YEAR(DebAmort),MONTH(DebAmort),Jour1+(H288-1)*Ijour)))</x:f>
      </x:c>
      <x:c r="L288" s="341">
        <x:f>L287-N287</x:f>
      </x:c>
      <x:c r="M288" s="331">
        <x:f>IF(H288&lt;=NoEchMaxi,ROUND(L288*R288,NbDeci),0)</x:f>
      </x:c>
      <x:c r="N288" s="330">
        <x:f>IF(OR(H288&lt;=Différé,H288&gt;NoEchMaxi),IF(DiffTotal,-M288,0),IF(H288&gt;=NoEchRemb,L288,IF(S288-(M288*EchFIXE)&gt;L288-2,L288,S288-(M288*EchFIXE))))+C288</x:f>
      </x:c>
      <x:c r="O288" s="332">
        <x:f>IF(OR(L288=0,H288&gt;NoEchMaxi),0,ROUND(FraisF+FraisV*L288,NbDeci))+F288</x:f>
      </x:c>
      <x:c r="P288" s="342">
        <x:f>SUM(M288:O288)</x:f>
      </x:c>
      <x:c r="Q288" s="0"/>
      <x:c r="R288" s="71">
        <x:f>IF(B288&gt;0,IF(TauxActuariel,((B288+1)^(1/NbEchAn))-1,B288/NbEchAn),R287)</x:f>
      </x:c>
      <x:c r="S288" s="70">
        <x:f>IF(E288&gt;0,E288,IF(D288&gt;0,IF(AND(EchFIXE,R288&gt;0),ROUND((L288-C288)*R288/(1-((1+R288)^-D288)),NbDeci),ROUND(L288/D288,NbDeci)),S287))</x:f>
      </x:c>
    </x:row>
    <x:row r="289" spans="1:31" x14ac:dyDescent="0.2">
      <x:c r="B289" s="334"/>
      <x:c r="C289" s="335"/>
      <x:c r="D289" s="336"/>
      <x:c r="E289" s="337"/>
      <x:c r="F289" s="338"/>
      <x:c r="H289" s="327">
        <x:f>IF(L289=0,"",H288+1)</x:f>
      </x:c>
      <x:c r="I289" s="328">
        <x:f>IF(L289&gt;0,NbEch+Différé+1-H289,"")</x:f>
      </x:c>
      <x:c r="J289" s="339">
        <x:f>IF(ISNUMBER(K289),YEAR(K289),"")</x:f>
      </x:c>
      <x:c r="K289" s="340">
        <x:f>IF(L289=0,"",IF(Ijour=0,MIN(DATE(YEAR(DebAmort),MONTH(DebAmort)+(H289-1)*Imois,Jour1),DATE(YEAR(DebAmort),MONTH(DebAmort)+1+(H289-1)*Imois,0)),DATE(YEAR(DebAmort),MONTH(DebAmort),Jour1+(H289-1)*Ijour)))</x:f>
      </x:c>
      <x:c r="L289" s="341">
        <x:f>L288-N288</x:f>
      </x:c>
      <x:c r="M289" s="331">
        <x:f>IF(H289&lt;=NoEchMaxi,ROUND(L289*R289,NbDeci),0)</x:f>
      </x:c>
      <x:c r="N289" s="330">
        <x:f>IF(OR(H289&lt;=Différé,H289&gt;NoEchMaxi),IF(DiffTotal,-M289,0),IF(H289&gt;=NoEchRemb,L289,IF(S289-(M289*EchFIXE)&gt;L289-2,L289,S289-(M289*EchFIXE))))+C289</x:f>
      </x:c>
      <x:c r="O289" s="332">
        <x:f>IF(OR(L289=0,H289&gt;NoEchMaxi),0,ROUND(FraisF+FraisV*L289,NbDeci))+F289</x:f>
      </x:c>
      <x:c r="P289" s="342">
        <x:f>SUM(M289:O289)</x:f>
      </x:c>
      <x:c r="Q289" s="0"/>
      <x:c r="R289" s="71">
        <x:f>IF(B289&gt;0,IF(TauxActuariel,((B289+1)^(1/NbEchAn))-1,B289/NbEchAn),R288)</x:f>
      </x:c>
      <x:c r="S289" s="70">
        <x:f>IF(E289&gt;0,E289,IF(D289&gt;0,IF(AND(EchFIXE,R289&gt;0),ROUND((L289-C289)*R289/(1-((1+R289)^-D289)),NbDeci),ROUND(L289/D289,NbDeci)),S288))</x:f>
      </x:c>
    </x:row>
    <x:row r="290" spans="1:31" x14ac:dyDescent="0.2">
      <x:c r="B290" s="334"/>
      <x:c r="C290" s="335"/>
      <x:c r="D290" s="336"/>
      <x:c r="E290" s="337"/>
      <x:c r="F290" s="338"/>
      <x:c r="H290" s="327">
        <x:f>IF(L290=0,"",H289+1)</x:f>
      </x:c>
      <x:c r="I290" s="328">
        <x:f>IF(L290&gt;0,NbEch+Différé+1-H290,"")</x:f>
      </x:c>
      <x:c r="J290" s="339">
        <x:f>IF(ISNUMBER(K290),YEAR(K290),"")</x:f>
      </x:c>
      <x:c r="K290" s="340">
        <x:f>IF(L290=0,"",IF(Ijour=0,MIN(DATE(YEAR(DebAmort),MONTH(DebAmort)+MoisD+(H290-1)*Imois,Jour2),DATE(YEAR(DebAmort),MONTH(DebAmort)+MoisD+1+(H290-1)*Imois,0)),DATE(YEAR(DebAmort),MONTH(DebAmort),Jour1+(H290-1)*Ijour)))</x:f>
      </x:c>
      <x:c r="L290" s="341">
        <x:f>L289-N289</x:f>
      </x:c>
      <x:c r="M290" s="331">
        <x:f>IF(H290&lt;=NoEchMaxi,ROUND(L290*R290,NbDeci),0)</x:f>
      </x:c>
      <x:c r="N290" s="330">
        <x:f>IF(OR(H290&lt;=Différé,H290&gt;NoEchMaxi),IF(DiffTotal,-M290,0),IF(H290&gt;=NoEchRemb,L290,IF(S290-(M290*EchFIXE)&gt;L290-2,L290,S290-(M290*EchFIXE))))+C290</x:f>
      </x:c>
      <x:c r="O290" s="332">
        <x:f>IF(OR(L290=0,H290&gt;NoEchMaxi),0,ROUND(FraisF+FraisV*L290,NbDeci))+F290</x:f>
      </x:c>
      <x:c r="P290" s="342">
        <x:f>SUM(M290:O290)</x:f>
      </x:c>
      <x:c r="Q290" s="0"/>
      <x:c r="R290" s="71">
        <x:f>IF(B290&gt;0,IF(TauxActuariel,((B290+1)^(1/NbEchAn))-1,B290/NbEchAn),R289)</x:f>
      </x:c>
      <x:c r="S290" s="70">
        <x:f>IF(E290&gt;0,E290,IF(D290&gt;0,IF(AND(EchFIXE,R290&gt;0),ROUND((L290-C290)*R290/(1-((1+R290)^-D290)),NbDeci),ROUND(L290/D290,NbDeci)),S289))</x:f>
      </x:c>
    </x:row>
    <x:row r="291" spans="1:31" x14ac:dyDescent="0.2">
      <x:c r="B291" s="334"/>
      <x:c r="C291" s="335"/>
      <x:c r="D291" s="336"/>
      <x:c r="E291" s="337"/>
      <x:c r="F291" s="338"/>
      <x:c r="H291" s="327">
        <x:f>IF(L291=0,"",H290+1)</x:f>
      </x:c>
      <x:c r="I291" s="328">
        <x:f>IF(L291&gt;0,NbEch+Différé+1-H291,"")</x:f>
      </x:c>
      <x:c r="J291" s="339">
        <x:f>IF(ISNUMBER(K291),YEAR(K291),"")</x:f>
      </x:c>
      <x:c r="K291" s="340">
        <x:f>IF(L291=0,"",IF(Ijour=0,MIN(DATE(YEAR(DebAmort),MONTH(DebAmort)+(H291-1)*Imois,Jour1),DATE(YEAR(DebAmort),MONTH(DebAmort)+1+(H291-1)*Imois,0)),DATE(YEAR(DebAmort),MONTH(DebAmort),Jour1+(H291-1)*Ijour)))</x:f>
      </x:c>
      <x:c r="L291" s="341">
        <x:f>L290-N290</x:f>
      </x:c>
      <x:c r="M291" s="331">
        <x:f>IF(H291&lt;=NoEchMaxi,ROUND(L291*R291,NbDeci),0)</x:f>
      </x:c>
      <x:c r="N291" s="330">
        <x:f>IF(OR(H291&lt;=Différé,H291&gt;NoEchMaxi),IF(DiffTotal,-M291,0),IF(H291&gt;=NoEchRemb,L291,IF(S291-(M291*EchFIXE)&gt;L291-2,L291,S291-(M291*EchFIXE))))+C291</x:f>
      </x:c>
      <x:c r="O291" s="332">
        <x:f>IF(OR(L291=0,H291&gt;NoEchMaxi),0,ROUND(FraisF+FraisV*L291,NbDeci))+F291</x:f>
      </x:c>
      <x:c r="P291" s="342">
        <x:f>SUM(M291:O291)</x:f>
      </x:c>
      <x:c r="Q291" s="0"/>
      <x:c r="R291" s="71">
        <x:f>IF(B291&gt;0,IF(TauxActuariel,((B291+1)^(1/NbEchAn))-1,B291/NbEchAn),R290)</x:f>
      </x:c>
      <x:c r="S291" s="70">
        <x:f>IF(E291&gt;0,E291,IF(D291&gt;0,IF(AND(EchFIXE,R291&gt;0),ROUND((L291-C291)*R291/(1-((1+R291)^-D291)),NbDeci),ROUND(L291/D291,NbDeci)),S290))</x:f>
      </x:c>
    </x:row>
    <x:row r="292" spans="1:31" x14ac:dyDescent="0.2">
      <x:c r="B292" s="334"/>
      <x:c r="C292" s="335"/>
      <x:c r="D292" s="336"/>
      <x:c r="E292" s="337"/>
      <x:c r="F292" s="338"/>
      <x:c r="H292" s="327">
        <x:f>IF(L292=0,"",H291+1)</x:f>
      </x:c>
      <x:c r="I292" s="328">
        <x:f>IF(L292&gt;0,NbEch+Différé+1-H292,"")</x:f>
      </x:c>
      <x:c r="J292" s="339">
        <x:f>IF(ISNUMBER(K292),YEAR(K292),"")</x:f>
      </x:c>
      <x:c r="K292" s="340">
        <x:f>IF(L292=0,"",IF(Ijour=0,MIN(DATE(YEAR(DebAmort),MONTH(DebAmort)+MoisD+(H292-1)*Imois,Jour2),DATE(YEAR(DebAmort),MONTH(DebAmort)+MoisD+1+(H292-1)*Imois,0)),DATE(YEAR(DebAmort),MONTH(DebAmort),Jour1+(H292-1)*Ijour)))</x:f>
      </x:c>
      <x:c r="L292" s="341">
        <x:f>L291-N291</x:f>
      </x:c>
      <x:c r="M292" s="331">
        <x:f>IF(H292&lt;=NoEchMaxi,ROUND(L292*R292,NbDeci),0)</x:f>
      </x:c>
      <x:c r="N292" s="330">
        <x:f>IF(OR(H292&lt;=Différé,H292&gt;NoEchMaxi),IF(DiffTotal,-M292,0),IF(H292&gt;=NoEchRemb,L292,IF(S292-(M292*EchFIXE)&gt;L292-2,L292,S292-(M292*EchFIXE))))+C292</x:f>
      </x:c>
      <x:c r="O292" s="332">
        <x:f>IF(OR(L292=0,H292&gt;NoEchMaxi),0,ROUND(FraisF+FraisV*L292,NbDeci))+F292</x:f>
      </x:c>
      <x:c r="P292" s="342">
        <x:f>SUM(M292:O292)</x:f>
      </x:c>
      <x:c r="Q292" s="0"/>
      <x:c r="R292" s="71">
        <x:f>IF(B292&gt;0,IF(TauxActuariel,((B292+1)^(1/NbEchAn))-1,B292/NbEchAn),R291)</x:f>
      </x:c>
      <x:c r="S292" s="70">
        <x:f>IF(E292&gt;0,E292,IF(D292&gt;0,IF(AND(EchFIXE,R292&gt;0),ROUND((L292-C292)*R292/(1-((1+R292)^-D292)),NbDeci),ROUND(L292/D292,NbDeci)),S291))</x:f>
      </x:c>
    </x:row>
    <x:row r="293" spans="1:31" x14ac:dyDescent="0.2">
      <x:c r="B293" s="334"/>
      <x:c r="C293" s="335"/>
      <x:c r="D293" s="336"/>
      <x:c r="E293" s="337"/>
      <x:c r="F293" s="338"/>
      <x:c r="H293" s="327">
        <x:f>IF(L293=0,"",H292+1)</x:f>
      </x:c>
      <x:c r="I293" s="328">
        <x:f>IF(L293&gt;0,NbEch+Différé+1-H293,"")</x:f>
      </x:c>
      <x:c r="J293" s="339">
        <x:f>IF(ISNUMBER(K293),YEAR(K293),"")</x:f>
      </x:c>
      <x:c r="K293" s="340">
        <x:f>IF(L293=0,"",IF(Ijour=0,MIN(DATE(YEAR(DebAmort),MONTH(DebAmort)+(H293-1)*Imois,Jour1),DATE(YEAR(DebAmort),MONTH(DebAmort)+1+(H293-1)*Imois,0)),DATE(YEAR(DebAmort),MONTH(DebAmort),Jour1+(H293-1)*Ijour)))</x:f>
      </x:c>
      <x:c r="L293" s="341">
        <x:f>L292-N292</x:f>
      </x:c>
      <x:c r="M293" s="331">
        <x:f>IF(H293&lt;=NoEchMaxi,ROUND(L293*R293,NbDeci),0)</x:f>
      </x:c>
      <x:c r="N293" s="330">
        <x:f>IF(OR(H293&lt;=Différé,H293&gt;NoEchMaxi),IF(DiffTotal,-M293,0),IF(H293&gt;=NoEchRemb,L293,IF(S293-(M293*EchFIXE)&gt;L293-2,L293,S293-(M293*EchFIXE))))+C293</x:f>
      </x:c>
      <x:c r="O293" s="332">
        <x:f>IF(OR(L293=0,H293&gt;NoEchMaxi),0,ROUND(FraisF+FraisV*L293,NbDeci))+F293</x:f>
      </x:c>
      <x:c r="P293" s="342">
        <x:f>SUM(M293:O293)</x:f>
      </x:c>
      <x:c r="Q293" s="0"/>
      <x:c r="R293" s="71">
        <x:f>IF(B293&gt;0,IF(TauxActuariel,((B293+1)^(1/NbEchAn))-1,B293/NbEchAn),R292)</x:f>
      </x:c>
      <x:c r="S293" s="70">
        <x:f>IF(E293&gt;0,E293,IF(D293&gt;0,IF(AND(EchFIXE,R293&gt;0),ROUND((L293-C293)*R293/(1-((1+R293)^-D293)),NbDeci),ROUND(L293/D293,NbDeci)),S292))</x:f>
      </x:c>
    </x:row>
    <x:row r="294" spans="1:31" x14ac:dyDescent="0.2">
      <x:c r="B294" s="334"/>
      <x:c r="C294" s="335"/>
      <x:c r="D294" s="336"/>
      <x:c r="E294" s="337"/>
      <x:c r="F294" s="338"/>
      <x:c r="H294" s="327">
        <x:f>IF(L294=0,"",H293+1)</x:f>
      </x:c>
      <x:c r="I294" s="328">
        <x:f>IF(L294&gt;0,NbEch+Différé+1-H294,"")</x:f>
      </x:c>
      <x:c r="J294" s="339">
        <x:f>IF(ISNUMBER(K294),YEAR(K294),"")</x:f>
      </x:c>
      <x:c r="K294" s="340">
        <x:f>IF(L294=0,"",IF(Ijour=0,MIN(DATE(YEAR(DebAmort),MONTH(DebAmort)+MoisD+(H294-1)*Imois,Jour2),DATE(YEAR(DebAmort),MONTH(DebAmort)+MoisD+1+(H294-1)*Imois,0)),DATE(YEAR(DebAmort),MONTH(DebAmort),Jour1+(H294-1)*Ijour)))</x:f>
      </x:c>
      <x:c r="L294" s="341">
        <x:f>L293-N293</x:f>
      </x:c>
      <x:c r="M294" s="331">
        <x:f>IF(H294&lt;=NoEchMaxi,ROUND(L294*R294,NbDeci),0)</x:f>
      </x:c>
      <x:c r="N294" s="330">
        <x:f>IF(OR(H294&lt;=Différé,H294&gt;NoEchMaxi),IF(DiffTotal,-M294,0),IF(H294&gt;=NoEchRemb,L294,IF(S294-(M294*EchFIXE)&gt;L294-2,L294,S294-(M294*EchFIXE))))+C294</x:f>
      </x:c>
      <x:c r="O294" s="332">
        <x:f>IF(OR(L294=0,H294&gt;NoEchMaxi),0,ROUND(FraisF+FraisV*L294,NbDeci))+F294</x:f>
      </x:c>
      <x:c r="P294" s="342">
        <x:f>SUM(M294:O294)</x:f>
      </x:c>
      <x:c r="Q294" s="0"/>
      <x:c r="R294" s="71">
        <x:f>IF(B294&gt;0,IF(TauxActuariel,((B294+1)^(1/NbEchAn))-1,B294/NbEchAn),R293)</x:f>
      </x:c>
      <x:c r="S294" s="70">
        <x:f>IF(E294&gt;0,E294,IF(D294&gt;0,IF(AND(EchFIXE,R294&gt;0),ROUND((L294-C294)*R294/(1-((1+R294)^-D294)),NbDeci),ROUND(L294/D294,NbDeci)),S293))</x:f>
      </x:c>
    </x:row>
    <x:row r="295" spans="1:31" x14ac:dyDescent="0.2">
      <x:c r="B295" s="334"/>
      <x:c r="C295" s="335"/>
      <x:c r="D295" s="336"/>
      <x:c r="E295" s="337"/>
      <x:c r="F295" s="338"/>
      <x:c r="H295" s="327">
        <x:f>IF(L295=0,"",H294+1)</x:f>
      </x:c>
      <x:c r="I295" s="328">
        <x:f>IF(L295&gt;0,NbEch+Différé+1-H295,"")</x:f>
      </x:c>
      <x:c r="J295" s="339">
        <x:f>IF(ISNUMBER(K295),YEAR(K295),"")</x:f>
      </x:c>
      <x:c r="K295" s="340">
        <x:f>IF(L295=0,"",IF(Ijour=0,MIN(DATE(YEAR(DebAmort),MONTH(DebAmort)+(H295-1)*Imois,Jour1),DATE(YEAR(DebAmort),MONTH(DebAmort)+1+(H295-1)*Imois,0)),DATE(YEAR(DebAmort),MONTH(DebAmort),Jour1+(H295-1)*Ijour)))</x:f>
      </x:c>
      <x:c r="L295" s="341">
        <x:f>L294-N294</x:f>
      </x:c>
      <x:c r="M295" s="331">
        <x:f>IF(H295&lt;=NoEchMaxi,ROUND(L295*R295,NbDeci),0)</x:f>
      </x:c>
      <x:c r="N295" s="330">
        <x:f>IF(OR(H295&lt;=Différé,H295&gt;NoEchMaxi),IF(DiffTotal,-M295,0),IF(H295&gt;=NoEchRemb,L295,IF(S295-(M295*EchFIXE)&gt;L295-2,L295,S295-(M295*EchFIXE))))+C295</x:f>
      </x:c>
      <x:c r="O295" s="332">
        <x:f>IF(OR(L295=0,H295&gt;NoEchMaxi),0,ROUND(FraisF+FraisV*L295,NbDeci))+F295</x:f>
      </x:c>
      <x:c r="P295" s="342">
        <x:f>SUM(M295:O295)</x:f>
      </x:c>
      <x:c r="Q295" s="0"/>
      <x:c r="R295" s="71">
        <x:f>IF(B295&gt;0,IF(TauxActuariel,((B295+1)^(1/NbEchAn))-1,B295/NbEchAn),R294)</x:f>
      </x:c>
      <x:c r="S295" s="70">
        <x:f>IF(E295&gt;0,E295,IF(D295&gt;0,IF(AND(EchFIXE,R295&gt;0),ROUND((L295-C295)*R295/(1-((1+R295)^-D295)),NbDeci),ROUND(L295/D295,NbDeci)),S294))</x:f>
      </x:c>
    </x:row>
    <x:row r="296" spans="1:31" x14ac:dyDescent="0.2">
      <x:c r="B296" s="334"/>
      <x:c r="C296" s="335"/>
      <x:c r="D296" s="336"/>
      <x:c r="E296" s="337"/>
      <x:c r="F296" s="338"/>
      <x:c r="H296" s="327">
        <x:f>IF(L296=0,"",H295+1)</x:f>
      </x:c>
      <x:c r="I296" s="328">
        <x:f>IF(L296&gt;0,NbEch+Différé+1-H296,"")</x:f>
      </x:c>
      <x:c r="J296" s="339">
        <x:f>IF(ISNUMBER(K296),YEAR(K296),"")</x:f>
      </x:c>
      <x:c r="K296" s="340">
        <x:f>IF(L296=0,"",IF(Ijour=0,MIN(DATE(YEAR(DebAmort),MONTH(DebAmort)+MoisD+(H296-1)*Imois,Jour2),DATE(YEAR(DebAmort),MONTH(DebAmort)+MoisD+1+(H296-1)*Imois,0)),DATE(YEAR(DebAmort),MONTH(DebAmort),Jour1+(H296-1)*Ijour)))</x:f>
      </x:c>
      <x:c r="L296" s="341">
        <x:f>L295-N295</x:f>
      </x:c>
      <x:c r="M296" s="331">
        <x:f>IF(H296&lt;=NoEchMaxi,ROUND(L296*R296,NbDeci),0)</x:f>
      </x:c>
      <x:c r="N296" s="330">
        <x:f>IF(OR(H296&lt;=Différé,H296&gt;NoEchMaxi),IF(DiffTotal,-M296,0),IF(H296&gt;=NoEchRemb,L296,IF(S296-(M296*EchFIXE)&gt;L296-2,L296,S296-(M296*EchFIXE))))+C296</x:f>
      </x:c>
      <x:c r="O296" s="332">
        <x:f>IF(OR(L296=0,H296&gt;NoEchMaxi),0,ROUND(FraisF+FraisV*L296,NbDeci))+F296</x:f>
      </x:c>
      <x:c r="P296" s="342">
        <x:f>SUM(M296:O296)</x:f>
      </x:c>
      <x:c r="Q296" s="0"/>
      <x:c r="R296" s="71">
        <x:f>IF(B296&gt;0,IF(TauxActuariel,((B296+1)^(1/NbEchAn))-1,B296/NbEchAn),R295)</x:f>
      </x:c>
      <x:c r="S296" s="70">
        <x:f>IF(E296&gt;0,E296,IF(D296&gt;0,IF(AND(EchFIXE,R296&gt;0),ROUND((L296-C296)*R296/(1-((1+R296)^-D296)),NbDeci),ROUND(L296/D296,NbDeci)),S295))</x:f>
      </x:c>
    </x:row>
    <x:row r="297" spans="1:31" x14ac:dyDescent="0.2">
      <x:c r="B297" s="334"/>
      <x:c r="C297" s="335"/>
      <x:c r="D297" s="336"/>
      <x:c r="E297" s="337"/>
      <x:c r="F297" s="338"/>
      <x:c r="H297" s="327">
        <x:f>IF(L297=0,"",H296+1)</x:f>
      </x:c>
      <x:c r="I297" s="328">
        <x:f>IF(L297&gt;0,NbEch+Différé+1-H297,"")</x:f>
      </x:c>
      <x:c r="J297" s="339">
        <x:f>IF(ISNUMBER(K297),YEAR(K297),"")</x:f>
      </x:c>
      <x:c r="K297" s="340">
        <x:f>IF(L297=0,"",IF(Ijour=0,MIN(DATE(YEAR(DebAmort),MONTH(DebAmort)+(H297-1)*Imois,Jour1),DATE(YEAR(DebAmort),MONTH(DebAmort)+1+(H297-1)*Imois,0)),DATE(YEAR(DebAmort),MONTH(DebAmort),Jour1+(H297-1)*Ijour)))</x:f>
      </x:c>
      <x:c r="L297" s="341">
        <x:f>L296-N296</x:f>
      </x:c>
      <x:c r="M297" s="331">
        <x:f>IF(H297&lt;=NoEchMaxi,ROUND(L297*R297,NbDeci),0)</x:f>
      </x:c>
      <x:c r="N297" s="330">
        <x:f>IF(OR(H297&lt;=Différé,H297&gt;NoEchMaxi),IF(DiffTotal,-M297,0),IF(H297&gt;=NoEchRemb,L297,IF(S297-(M297*EchFIXE)&gt;L297-2,L297,S297-(M297*EchFIXE))))+C297</x:f>
      </x:c>
      <x:c r="O297" s="332">
        <x:f>IF(OR(L297=0,H297&gt;NoEchMaxi),0,ROUND(FraisF+FraisV*L297,NbDeci))+F297</x:f>
      </x:c>
      <x:c r="P297" s="342">
        <x:f>SUM(M297:O297)</x:f>
      </x:c>
      <x:c r="Q297" s="0"/>
      <x:c r="R297" s="71">
        <x:f>IF(B297&gt;0,IF(TauxActuariel,((B297+1)^(1/NbEchAn))-1,B297/NbEchAn),R296)</x:f>
      </x:c>
      <x:c r="S297" s="70">
        <x:f>IF(E297&gt;0,E297,IF(D297&gt;0,IF(AND(EchFIXE,R297&gt;0),ROUND((L297-C297)*R297/(1-((1+R297)^-D297)),NbDeci),ROUND(L297/D297,NbDeci)),S296))</x:f>
      </x:c>
    </x:row>
    <x:row r="298" spans="1:31" x14ac:dyDescent="0.2">
      <x:c r="B298" s="334"/>
      <x:c r="C298" s="335"/>
      <x:c r="D298" s="336"/>
      <x:c r="E298" s="337"/>
      <x:c r="F298" s="338"/>
      <x:c r="H298" s="327">
        <x:f>IF(L298=0,"",H297+1)</x:f>
      </x:c>
      <x:c r="I298" s="328">
        <x:f>IF(L298&gt;0,NbEch+Différé+1-H298,"")</x:f>
      </x:c>
      <x:c r="J298" s="339">
        <x:f>IF(ISNUMBER(K298),YEAR(K298),"")</x:f>
      </x:c>
      <x:c r="K298" s="340">
        <x:f>IF(L298=0,"",IF(Ijour=0,MIN(DATE(YEAR(DebAmort),MONTH(DebAmort)+MoisD+(H298-1)*Imois,Jour2),DATE(YEAR(DebAmort),MONTH(DebAmort)+MoisD+1+(H298-1)*Imois,0)),DATE(YEAR(DebAmort),MONTH(DebAmort),Jour1+(H298-1)*Ijour)))</x:f>
      </x:c>
      <x:c r="L298" s="341">
        <x:f>L297-N297</x:f>
      </x:c>
      <x:c r="M298" s="331">
        <x:f>IF(H298&lt;=NoEchMaxi,ROUND(L298*R298,NbDeci),0)</x:f>
      </x:c>
      <x:c r="N298" s="330">
        <x:f>IF(OR(H298&lt;=Différé,H298&gt;NoEchMaxi),IF(DiffTotal,-M298,0),IF(H298&gt;=NoEchRemb,L298,IF(S298-(M298*EchFIXE)&gt;L298-2,L298,S298-(M298*EchFIXE))))+C298</x:f>
      </x:c>
      <x:c r="O298" s="332">
        <x:f>IF(OR(L298=0,H298&gt;NoEchMaxi),0,ROUND(FraisF+FraisV*L298,NbDeci))+F298</x:f>
      </x:c>
      <x:c r="P298" s="342">
        <x:f>SUM(M298:O298)</x:f>
      </x:c>
      <x:c r="Q298" s="0"/>
      <x:c r="R298" s="71">
        <x:f>IF(B298&gt;0,IF(TauxActuariel,((B298+1)^(1/NbEchAn))-1,B298/NbEchAn),R297)</x:f>
      </x:c>
      <x:c r="S298" s="70">
        <x:f>IF(E298&gt;0,E298,IF(D298&gt;0,IF(AND(EchFIXE,R298&gt;0),ROUND((L298-C298)*R298/(1-((1+R298)^-D298)),NbDeci),ROUND(L298/D298,NbDeci)),S297))</x:f>
      </x:c>
    </x:row>
    <x:row r="299" spans="1:31" x14ac:dyDescent="0.2">
      <x:c r="B299" s="334"/>
      <x:c r="C299" s="335"/>
      <x:c r="D299" s="336"/>
      <x:c r="E299" s="337"/>
      <x:c r="F299" s="338"/>
      <x:c r="H299" s="327">
        <x:f>IF(L299=0,"",H298+1)</x:f>
      </x:c>
      <x:c r="I299" s="328">
        <x:f>IF(L299&gt;0,NbEch+Différé+1-H299,"")</x:f>
      </x:c>
      <x:c r="J299" s="339">
        <x:f>IF(ISNUMBER(K299),YEAR(K299),"")</x:f>
      </x:c>
      <x:c r="K299" s="340">
        <x:f>IF(L299=0,"",IF(Ijour=0,MIN(DATE(YEAR(DebAmort),MONTH(DebAmort)+(H299-1)*Imois,Jour1),DATE(YEAR(DebAmort),MONTH(DebAmort)+1+(H299-1)*Imois,0)),DATE(YEAR(DebAmort),MONTH(DebAmort),Jour1+(H299-1)*Ijour)))</x:f>
      </x:c>
      <x:c r="L299" s="341">
        <x:f>L298-N298</x:f>
      </x:c>
      <x:c r="M299" s="331">
        <x:f>IF(H299&lt;=NoEchMaxi,ROUND(L299*R299,NbDeci),0)</x:f>
      </x:c>
      <x:c r="N299" s="330">
        <x:f>IF(OR(H299&lt;=Différé,H299&gt;NoEchMaxi),IF(DiffTotal,-M299,0),IF(H299&gt;=NoEchRemb,L299,IF(S299-(M299*EchFIXE)&gt;L299-2,L299,S299-(M299*EchFIXE))))+C299</x:f>
      </x:c>
      <x:c r="O299" s="332">
        <x:f>IF(OR(L299=0,H299&gt;NoEchMaxi),0,ROUND(FraisF+FraisV*L299,NbDeci))+F299</x:f>
      </x:c>
      <x:c r="P299" s="342">
        <x:f>SUM(M299:O299)</x:f>
      </x:c>
      <x:c r="Q299" s="0"/>
      <x:c r="R299" s="71">
        <x:f>IF(B299&gt;0,IF(TauxActuariel,((B299+1)^(1/NbEchAn))-1,B299/NbEchAn),R298)</x:f>
      </x:c>
      <x:c r="S299" s="70">
        <x:f>IF(E299&gt;0,E299,IF(D299&gt;0,IF(AND(EchFIXE,R299&gt;0),ROUND((L299-C299)*R299/(1-((1+R299)^-D299)),NbDeci),ROUND(L299/D299,NbDeci)),S298))</x:f>
      </x:c>
    </x:row>
    <x:row r="300" spans="1:31" x14ac:dyDescent="0.2">
      <x:c r="B300" s="334"/>
      <x:c r="C300" s="335"/>
      <x:c r="D300" s="336"/>
      <x:c r="E300" s="337"/>
      <x:c r="F300" s="338"/>
      <x:c r="H300" s="327">
        <x:f>IF(L300=0,"",H299+1)</x:f>
      </x:c>
      <x:c r="I300" s="328">
        <x:f>IF(L300&gt;0,NbEch+Différé+1-H300,"")</x:f>
      </x:c>
      <x:c r="J300" s="339">
        <x:f>IF(ISNUMBER(K300),YEAR(K300),"")</x:f>
      </x:c>
      <x:c r="K300" s="340">
        <x:f>IF(L300=0,"",IF(Ijour=0,MIN(DATE(YEAR(DebAmort),MONTH(DebAmort)+MoisD+(H300-1)*Imois,Jour2),DATE(YEAR(DebAmort),MONTH(DebAmort)+MoisD+1+(H300-1)*Imois,0)),DATE(YEAR(DebAmort),MONTH(DebAmort),Jour1+(H300-1)*Ijour)))</x:f>
      </x:c>
      <x:c r="L300" s="341">
        <x:f>L299-N299</x:f>
      </x:c>
      <x:c r="M300" s="331">
        <x:f>IF(H300&lt;=NoEchMaxi,ROUND(L300*R300,NbDeci),0)</x:f>
      </x:c>
      <x:c r="N300" s="330">
        <x:f>IF(OR(H300&lt;=Différé,H300&gt;NoEchMaxi),IF(DiffTotal,-M300,0),IF(H300&gt;=NoEchRemb,L300,IF(S300-(M300*EchFIXE)&gt;L300-2,L300,S300-(M300*EchFIXE))))+C300</x:f>
      </x:c>
      <x:c r="O300" s="332">
        <x:f>IF(OR(L300=0,H300&gt;NoEchMaxi),0,ROUND(FraisF+FraisV*L300,NbDeci))+F300</x:f>
      </x:c>
      <x:c r="P300" s="342">
        <x:f>SUM(M300:O300)</x:f>
      </x:c>
      <x:c r="Q300" s="0"/>
      <x:c r="R300" s="71">
        <x:f>IF(B300&gt;0,IF(TauxActuariel,((B300+1)^(1/NbEchAn))-1,B300/NbEchAn),R299)</x:f>
      </x:c>
      <x:c r="S300" s="70">
        <x:f>IF(E300&gt;0,E300,IF(D300&gt;0,IF(AND(EchFIXE,R300&gt;0),ROUND((L300-C300)*R300/(1-((1+R300)^-D300)),NbDeci),ROUND(L300/D300,NbDeci)),S299))</x:f>
      </x:c>
    </x:row>
    <x:row r="301" spans="1:31" x14ac:dyDescent="0.2">
      <x:c r="B301" s="334"/>
      <x:c r="C301" s="335"/>
      <x:c r="D301" s="336"/>
      <x:c r="E301" s="337"/>
      <x:c r="F301" s="338"/>
      <x:c r="H301" s="327">
        <x:f>IF(L301=0,"",H300+1)</x:f>
      </x:c>
      <x:c r="I301" s="328">
        <x:f>IF(L301&gt;0,NbEch+Différé+1-H301,"")</x:f>
      </x:c>
      <x:c r="J301" s="339">
        <x:f>IF(ISNUMBER(K301),YEAR(K301),"")</x:f>
      </x:c>
      <x:c r="K301" s="340">
        <x:f>IF(L301=0,"",IF(Ijour=0,MIN(DATE(YEAR(DebAmort),MONTH(DebAmort)+(H301-1)*Imois,Jour1),DATE(YEAR(DebAmort),MONTH(DebAmort)+1+(H301-1)*Imois,0)),DATE(YEAR(DebAmort),MONTH(DebAmort),Jour1+(H301-1)*Ijour)))</x:f>
      </x:c>
      <x:c r="L301" s="341">
        <x:f>L300-N300</x:f>
      </x:c>
      <x:c r="M301" s="331">
        <x:f>IF(H301&lt;=NoEchMaxi,ROUND(L301*R301,NbDeci),0)</x:f>
      </x:c>
      <x:c r="N301" s="330">
        <x:f>IF(OR(H301&lt;=Différé,H301&gt;NoEchMaxi),IF(DiffTotal,-M301,0),IF(H301&gt;=NoEchRemb,L301,IF(S301-(M301*EchFIXE)&gt;L301-2,L301,S301-(M301*EchFIXE))))+C301</x:f>
      </x:c>
      <x:c r="O301" s="332">
        <x:f>IF(OR(L301=0,H301&gt;NoEchMaxi),0,ROUND(FraisF+FraisV*L301,NbDeci))+F301</x:f>
      </x:c>
      <x:c r="P301" s="342">
        <x:f>SUM(M301:O301)</x:f>
      </x:c>
      <x:c r="Q301" s="0"/>
      <x:c r="R301" s="71">
        <x:f>IF(B301&gt;0,IF(TauxActuariel,((B301+1)^(1/NbEchAn))-1,B301/NbEchAn),R300)</x:f>
      </x:c>
      <x:c r="S301" s="70">
        <x:f>IF(E301&gt;0,E301,IF(D301&gt;0,IF(AND(EchFIXE,R301&gt;0),ROUND((L301-C301)*R301/(1-((1+R301)^-D301)),NbDeci),ROUND(L301/D301,NbDeci)),S300))</x:f>
      </x:c>
    </x:row>
    <x:row r="302" spans="1:31" x14ac:dyDescent="0.2">
      <x:c r="B302" s="334"/>
      <x:c r="C302" s="335"/>
      <x:c r="D302" s="336"/>
      <x:c r="E302" s="337"/>
      <x:c r="F302" s="338"/>
      <x:c r="H302" s="327">
        <x:f>IF(L302=0,"",H301+1)</x:f>
      </x:c>
      <x:c r="I302" s="328">
        <x:f>IF(L302&gt;0,NbEch+Différé+1-H302,"")</x:f>
      </x:c>
      <x:c r="J302" s="339">
        <x:f>IF(ISNUMBER(K302),YEAR(K302),"")</x:f>
      </x:c>
      <x:c r="K302" s="340">
        <x:f>IF(L302=0,"",IF(Ijour=0,MIN(DATE(YEAR(DebAmort),MONTH(DebAmort)+MoisD+(H302-1)*Imois,Jour2),DATE(YEAR(DebAmort),MONTH(DebAmort)+MoisD+1+(H302-1)*Imois,0)),DATE(YEAR(DebAmort),MONTH(DebAmort),Jour1+(H302-1)*Ijour)))</x:f>
      </x:c>
      <x:c r="L302" s="341">
        <x:f>L301-N301</x:f>
      </x:c>
      <x:c r="M302" s="331">
        <x:f>IF(H302&lt;=NoEchMaxi,ROUND(L302*R302,NbDeci),0)</x:f>
      </x:c>
      <x:c r="N302" s="330">
        <x:f>IF(OR(H302&lt;=Différé,H302&gt;NoEchMaxi),IF(DiffTotal,-M302,0),IF(H302&gt;=NoEchRemb,L302,IF(S302-(M302*EchFIXE)&gt;L302-2,L302,S302-(M302*EchFIXE))))+C302</x:f>
      </x:c>
      <x:c r="O302" s="332">
        <x:f>IF(OR(L302=0,H302&gt;NoEchMaxi),0,ROUND(FraisF+FraisV*L302,NbDeci))+F302</x:f>
      </x:c>
      <x:c r="P302" s="342">
        <x:f>SUM(M302:O302)</x:f>
      </x:c>
      <x:c r="Q302" s="0"/>
      <x:c r="R302" s="71">
        <x:f>IF(B302&gt;0,IF(TauxActuariel,((B302+1)^(1/NbEchAn))-1,B302/NbEchAn),R301)</x:f>
      </x:c>
      <x:c r="S302" s="70">
        <x:f>IF(E302&gt;0,E302,IF(D302&gt;0,IF(AND(EchFIXE,R302&gt;0),ROUND((L302-C302)*R302/(1-((1+R302)^-D302)),NbDeci),ROUND(L302/D302,NbDeci)),S301))</x:f>
      </x:c>
    </x:row>
    <x:row r="303" spans="1:31" x14ac:dyDescent="0.2">
      <x:c r="B303" s="334"/>
      <x:c r="C303" s="335"/>
      <x:c r="D303" s="336"/>
      <x:c r="E303" s="337"/>
      <x:c r="F303" s="338"/>
      <x:c r="H303" s="327">
        <x:f>IF(L303=0,"",H302+1)</x:f>
      </x:c>
      <x:c r="I303" s="328">
        <x:f>IF(L303&gt;0,NbEch+Différé+1-H303,"")</x:f>
      </x:c>
      <x:c r="J303" s="339">
        <x:f>IF(ISNUMBER(K303),YEAR(K303),"")</x:f>
      </x:c>
      <x:c r="K303" s="340">
        <x:f>IF(L303=0,"",IF(Ijour=0,MIN(DATE(YEAR(DebAmort),MONTH(DebAmort)+(H303-1)*Imois,Jour1),DATE(YEAR(DebAmort),MONTH(DebAmort)+1+(H303-1)*Imois,0)),DATE(YEAR(DebAmort),MONTH(DebAmort),Jour1+(H303-1)*Ijour)))</x:f>
      </x:c>
      <x:c r="L303" s="341">
        <x:f>L302-N302</x:f>
      </x:c>
      <x:c r="M303" s="331">
        <x:f>IF(H303&lt;=NoEchMaxi,ROUND(L303*R303,NbDeci),0)</x:f>
      </x:c>
      <x:c r="N303" s="330">
        <x:f>IF(OR(H303&lt;=Différé,H303&gt;NoEchMaxi),IF(DiffTotal,-M303,0),IF(H303&gt;=NoEchRemb,L303,IF(S303-(M303*EchFIXE)&gt;L303-2,L303,S303-(M303*EchFIXE))))+C303</x:f>
      </x:c>
      <x:c r="O303" s="332">
        <x:f>IF(OR(L303=0,H303&gt;NoEchMaxi),0,ROUND(FraisF+FraisV*L303,NbDeci))+F303</x:f>
      </x:c>
      <x:c r="P303" s="342">
        <x:f>SUM(M303:O303)</x:f>
      </x:c>
      <x:c r="Q303" s="0"/>
      <x:c r="R303" s="71">
        <x:f>IF(B303&gt;0,IF(TauxActuariel,((B303+1)^(1/NbEchAn))-1,B303/NbEchAn),R302)</x:f>
      </x:c>
      <x:c r="S303" s="70">
        <x:f>IF(E303&gt;0,E303,IF(D303&gt;0,IF(AND(EchFIXE,R303&gt;0),ROUND((L303-C303)*R303/(1-((1+R303)^-D303)),NbDeci),ROUND(L303/D303,NbDeci)),S302))</x:f>
      </x:c>
    </x:row>
    <x:row r="304" spans="1:31" x14ac:dyDescent="0.2">
      <x:c r="B304" s="334"/>
      <x:c r="C304" s="335"/>
      <x:c r="D304" s="336"/>
      <x:c r="E304" s="337"/>
      <x:c r="F304" s="338"/>
      <x:c r="H304" s="327">
        <x:f>IF(L304=0,"",H303+1)</x:f>
      </x:c>
      <x:c r="I304" s="328">
        <x:f>IF(L304&gt;0,NbEch+Différé+1-H304,"")</x:f>
      </x:c>
      <x:c r="J304" s="339">
        <x:f>IF(ISNUMBER(K304),YEAR(K304),"")</x:f>
      </x:c>
      <x:c r="K304" s="340">
        <x:f>IF(L304=0,"",IF(Ijour=0,MIN(DATE(YEAR(DebAmort),MONTH(DebAmort)+MoisD+(H304-1)*Imois,Jour2),DATE(YEAR(DebAmort),MONTH(DebAmort)+MoisD+1+(H304-1)*Imois,0)),DATE(YEAR(DebAmort),MONTH(DebAmort),Jour1+(H304-1)*Ijour)))</x:f>
      </x:c>
      <x:c r="L304" s="341">
        <x:f>L303-N303</x:f>
      </x:c>
      <x:c r="M304" s="331">
        <x:f>IF(H304&lt;=NoEchMaxi,ROUND(L304*R304,NbDeci),0)</x:f>
      </x:c>
      <x:c r="N304" s="330">
        <x:f>IF(OR(H304&lt;=Différé,H304&gt;NoEchMaxi),IF(DiffTotal,-M304,0),IF(H304&gt;=NoEchRemb,L304,IF(S304-(M304*EchFIXE)&gt;L304-2,L304,S304-(M304*EchFIXE))))+C304</x:f>
      </x:c>
      <x:c r="O304" s="332">
        <x:f>IF(OR(L304=0,H304&gt;NoEchMaxi),0,ROUND(FraisF+FraisV*L304,NbDeci))+F304</x:f>
      </x:c>
      <x:c r="P304" s="342">
        <x:f>SUM(M304:O304)</x:f>
      </x:c>
      <x:c r="Q304" s="0"/>
      <x:c r="R304" s="71">
        <x:f>IF(B304&gt;0,IF(TauxActuariel,((B304+1)^(1/NbEchAn))-1,B304/NbEchAn),R303)</x:f>
      </x:c>
      <x:c r="S304" s="70">
        <x:f>IF(E304&gt;0,E304,IF(D304&gt;0,IF(AND(EchFIXE,R304&gt;0),ROUND((L304-C304)*R304/(1-((1+R304)^-D304)),NbDeci),ROUND(L304/D304,NbDeci)),S303))</x:f>
      </x:c>
    </x:row>
    <x:row r="305" spans="1:31" x14ac:dyDescent="0.2">
      <x:c r="B305" s="334"/>
      <x:c r="C305" s="335"/>
      <x:c r="D305" s="336"/>
      <x:c r="E305" s="337"/>
      <x:c r="F305" s="338"/>
      <x:c r="H305" s="327">
        <x:f>IF(L305=0,"",H304+1)</x:f>
      </x:c>
      <x:c r="I305" s="328">
        <x:f>IF(L305&gt;0,NbEch+Différé+1-H305,"")</x:f>
      </x:c>
      <x:c r="J305" s="339">
        <x:f>IF(ISNUMBER(K305),YEAR(K305),"")</x:f>
      </x:c>
      <x:c r="K305" s="340">
        <x:f>IF(L305=0,"",IF(Ijour=0,MIN(DATE(YEAR(DebAmort),MONTH(DebAmort)+(H305-1)*Imois,Jour1),DATE(YEAR(DebAmort),MONTH(DebAmort)+1+(H305-1)*Imois,0)),DATE(YEAR(DebAmort),MONTH(DebAmort),Jour1+(H305-1)*Ijour)))</x:f>
      </x:c>
      <x:c r="L305" s="341">
        <x:f>L304-N304</x:f>
      </x:c>
      <x:c r="M305" s="331">
        <x:f>IF(H305&lt;=NoEchMaxi,ROUND(L305*R305,NbDeci),0)</x:f>
      </x:c>
      <x:c r="N305" s="330">
        <x:f>IF(OR(H305&lt;=Différé,H305&gt;NoEchMaxi),IF(DiffTotal,-M305,0),IF(H305&gt;=NoEchRemb,L305,IF(S305-(M305*EchFIXE)&gt;L305-2,L305,S305-(M305*EchFIXE))))+C305</x:f>
      </x:c>
      <x:c r="O305" s="332">
        <x:f>IF(OR(L305=0,H305&gt;NoEchMaxi),0,ROUND(FraisF+FraisV*L305,NbDeci))+F305</x:f>
      </x:c>
      <x:c r="P305" s="342">
        <x:f>SUM(M305:O305)</x:f>
      </x:c>
      <x:c r="Q305" s="0"/>
      <x:c r="R305" s="71">
        <x:f>IF(B305&gt;0,IF(TauxActuariel,((B305+1)^(1/NbEchAn))-1,B305/NbEchAn),R304)</x:f>
      </x:c>
      <x:c r="S305" s="70">
        <x:f>IF(E305&gt;0,E305,IF(D305&gt;0,IF(AND(EchFIXE,R305&gt;0),ROUND((L305-C305)*R305/(1-((1+R305)^-D305)),NbDeci),ROUND(L305/D305,NbDeci)),S304))</x:f>
      </x:c>
    </x:row>
    <x:row r="306" spans="1:31" x14ac:dyDescent="0.2">
      <x:c r="B306" s="334"/>
      <x:c r="C306" s="335"/>
      <x:c r="D306" s="336"/>
      <x:c r="E306" s="337"/>
      <x:c r="F306" s="338"/>
      <x:c r="H306" s="327">
        <x:f>IF(L306=0,"",H305+1)</x:f>
      </x:c>
      <x:c r="I306" s="328">
        <x:f>IF(L306&gt;0,NbEch+Différé+1-H306,"")</x:f>
      </x:c>
      <x:c r="J306" s="339">
        <x:f>IF(ISNUMBER(K306),YEAR(K306),"")</x:f>
      </x:c>
      <x:c r="K306" s="340">
        <x:f>IF(L306=0,"",IF(Ijour=0,MIN(DATE(YEAR(DebAmort),MONTH(DebAmort)+MoisD+(H306-1)*Imois,Jour2),DATE(YEAR(DebAmort),MONTH(DebAmort)+MoisD+1+(H306-1)*Imois,0)),DATE(YEAR(DebAmort),MONTH(DebAmort),Jour1+(H306-1)*Ijour)))</x:f>
      </x:c>
      <x:c r="L306" s="341">
        <x:f>L305-N305</x:f>
      </x:c>
      <x:c r="M306" s="331">
        <x:f>IF(H306&lt;=NoEchMaxi,ROUND(L306*R306,NbDeci),0)</x:f>
      </x:c>
      <x:c r="N306" s="330">
        <x:f>IF(OR(H306&lt;=Différé,H306&gt;NoEchMaxi),IF(DiffTotal,-M306,0),IF(H306&gt;=NoEchRemb,L306,IF(S306-(M306*EchFIXE)&gt;L306-2,L306,S306-(M306*EchFIXE))))+C306</x:f>
      </x:c>
      <x:c r="O306" s="332">
        <x:f>IF(OR(L306=0,H306&gt;NoEchMaxi),0,ROUND(FraisF+FraisV*L306,NbDeci))+F306</x:f>
      </x:c>
      <x:c r="P306" s="342">
        <x:f>SUM(M306:O306)</x:f>
      </x:c>
      <x:c r="Q306" s="0"/>
      <x:c r="R306" s="71">
        <x:f>IF(B306&gt;0,IF(TauxActuariel,((B306+1)^(1/NbEchAn))-1,B306/NbEchAn),R305)</x:f>
      </x:c>
      <x:c r="S306" s="70">
        <x:f>IF(E306&gt;0,E306,IF(D306&gt;0,IF(AND(EchFIXE,R306&gt;0),ROUND((L306-C306)*R306/(1-((1+R306)^-D306)),NbDeci),ROUND(L306/D306,NbDeci)),S305))</x:f>
      </x:c>
    </x:row>
    <x:row r="307" spans="1:31" x14ac:dyDescent="0.2">
      <x:c r="B307" s="334"/>
      <x:c r="C307" s="335"/>
      <x:c r="D307" s="336"/>
      <x:c r="E307" s="337"/>
      <x:c r="F307" s="338"/>
      <x:c r="H307" s="327">
        <x:f>IF(L307=0,"",H306+1)</x:f>
      </x:c>
      <x:c r="I307" s="328">
        <x:f>IF(L307&gt;0,NbEch+Différé+1-H307,"")</x:f>
      </x:c>
      <x:c r="J307" s="339">
        <x:f>IF(ISNUMBER(K307),YEAR(K307),"")</x:f>
      </x:c>
      <x:c r="K307" s="340">
        <x:f>IF(L307=0,"",IF(Ijour=0,MIN(DATE(YEAR(DebAmort),MONTH(DebAmort)+(H307-1)*Imois,Jour1),DATE(YEAR(DebAmort),MONTH(DebAmort)+1+(H307-1)*Imois,0)),DATE(YEAR(DebAmort),MONTH(DebAmort),Jour1+(H307-1)*Ijour)))</x:f>
      </x:c>
      <x:c r="L307" s="341">
        <x:f>L306-N306</x:f>
      </x:c>
      <x:c r="M307" s="331">
        <x:f>IF(H307&lt;=NoEchMaxi,ROUND(L307*R307,NbDeci),0)</x:f>
      </x:c>
      <x:c r="N307" s="330">
        <x:f>IF(OR(H307&lt;=Différé,H307&gt;NoEchMaxi),IF(DiffTotal,-M307,0),IF(H307&gt;=NoEchRemb,L307,IF(S307-(M307*EchFIXE)&gt;L307-2,L307,S307-(M307*EchFIXE))))+C307</x:f>
      </x:c>
      <x:c r="O307" s="332">
        <x:f>IF(OR(L307=0,H307&gt;NoEchMaxi),0,ROUND(FraisF+FraisV*L307,NbDeci))+F307</x:f>
      </x:c>
      <x:c r="P307" s="342">
        <x:f>SUM(M307:O307)</x:f>
      </x:c>
      <x:c r="Q307" s="0"/>
      <x:c r="R307" s="71">
        <x:f>IF(B307&gt;0,IF(TauxActuariel,((B307+1)^(1/NbEchAn))-1,B307/NbEchAn),R306)</x:f>
      </x:c>
      <x:c r="S307" s="70">
        <x:f>IF(E307&gt;0,E307,IF(D307&gt;0,IF(AND(EchFIXE,R307&gt;0),ROUND((L307-C307)*R307/(1-((1+R307)^-D307)),NbDeci),ROUND(L307/D307,NbDeci)),S306))</x:f>
      </x:c>
    </x:row>
    <x:row r="308" spans="1:31" x14ac:dyDescent="0.2">
      <x:c r="B308" s="334"/>
      <x:c r="C308" s="335"/>
      <x:c r="D308" s="336"/>
      <x:c r="E308" s="337"/>
      <x:c r="F308" s="338"/>
      <x:c r="H308" s="327">
        <x:f>IF(L308=0,"",H307+1)</x:f>
      </x:c>
      <x:c r="I308" s="328">
        <x:f>IF(L308&gt;0,NbEch+Différé+1-H308,"")</x:f>
      </x:c>
      <x:c r="J308" s="339">
        <x:f>IF(ISNUMBER(K308),YEAR(K308),"")</x:f>
      </x:c>
      <x:c r="K308" s="340">
        <x:f>IF(L308=0,"",IF(Ijour=0,MIN(DATE(YEAR(DebAmort),MONTH(DebAmort)+MoisD+(H308-1)*Imois,Jour2),DATE(YEAR(DebAmort),MONTH(DebAmort)+MoisD+1+(H308-1)*Imois,0)),DATE(YEAR(DebAmort),MONTH(DebAmort),Jour1+(H308-1)*Ijour)))</x:f>
      </x:c>
      <x:c r="L308" s="341">
        <x:f>L307-N307</x:f>
      </x:c>
      <x:c r="M308" s="331">
        <x:f>IF(H308&lt;=NoEchMaxi,ROUND(L308*R308,NbDeci),0)</x:f>
      </x:c>
      <x:c r="N308" s="330">
        <x:f>IF(OR(H308&lt;=Différé,H308&gt;NoEchMaxi),IF(DiffTotal,-M308,0),IF(H308&gt;=NoEchRemb,L308,IF(S308-(M308*EchFIXE)&gt;L308-2,L308,S308-(M308*EchFIXE))))+C308</x:f>
      </x:c>
      <x:c r="O308" s="332">
        <x:f>IF(OR(L308=0,H308&gt;NoEchMaxi),0,ROUND(FraisF+FraisV*L308,NbDeci))+F308</x:f>
      </x:c>
      <x:c r="P308" s="342">
        <x:f>SUM(M308:O308)</x:f>
      </x:c>
      <x:c r="Q308" s="0"/>
      <x:c r="R308" s="71">
        <x:f>IF(B308&gt;0,IF(TauxActuariel,((B308+1)^(1/NbEchAn))-1,B308/NbEchAn),R307)</x:f>
      </x:c>
      <x:c r="S308" s="70">
        <x:f>IF(E308&gt;0,E308,IF(D308&gt;0,IF(AND(EchFIXE,R308&gt;0),ROUND((L308-C308)*R308/(1-((1+R308)^-D308)),NbDeci),ROUND(L308/D308,NbDeci)),S307))</x:f>
      </x:c>
    </x:row>
    <x:row r="309" spans="1:31" x14ac:dyDescent="0.2">
      <x:c r="B309" s="334"/>
      <x:c r="C309" s="335"/>
      <x:c r="D309" s="336"/>
      <x:c r="E309" s="337"/>
      <x:c r="F309" s="338"/>
      <x:c r="H309" s="327">
        <x:f>IF(L309=0,"",H308+1)</x:f>
      </x:c>
      <x:c r="I309" s="328">
        <x:f>IF(L309&gt;0,NbEch+Différé+1-H309,"")</x:f>
      </x:c>
      <x:c r="J309" s="339">
        <x:f>IF(ISNUMBER(K309),YEAR(K309),"")</x:f>
      </x:c>
      <x:c r="K309" s="340">
        <x:f>IF(L309=0,"",IF(Ijour=0,MIN(DATE(YEAR(DebAmort),MONTH(DebAmort)+(H309-1)*Imois,Jour1),DATE(YEAR(DebAmort),MONTH(DebAmort)+1+(H309-1)*Imois,0)),DATE(YEAR(DebAmort),MONTH(DebAmort),Jour1+(H309-1)*Ijour)))</x:f>
      </x:c>
      <x:c r="L309" s="341">
        <x:f>L308-N308</x:f>
      </x:c>
      <x:c r="M309" s="331">
        <x:f>IF(H309&lt;=NoEchMaxi,ROUND(L309*R309,NbDeci),0)</x:f>
      </x:c>
      <x:c r="N309" s="330">
        <x:f>IF(OR(H309&lt;=Différé,H309&gt;NoEchMaxi),IF(DiffTotal,-M309,0),IF(H309&gt;=NoEchRemb,L309,IF(S309-(M309*EchFIXE)&gt;L309-2,L309,S309-(M309*EchFIXE))))+C309</x:f>
      </x:c>
      <x:c r="O309" s="332">
        <x:f>IF(OR(L309=0,H309&gt;NoEchMaxi),0,ROUND(FraisF+FraisV*L309,NbDeci))+F309</x:f>
      </x:c>
      <x:c r="P309" s="342">
        <x:f>SUM(M309:O309)</x:f>
      </x:c>
      <x:c r="Q309" s="0"/>
      <x:c r="R309" s="71">
        <x:f>IF(B309&gt;0,IF(TauxActuariel,((B309+1)^(1/NbEchAn))-1,B309/NbEchAn),R308)</x:f>
      </x:c>
      <x:c r="S309" s="70">
        <x:f>IF(E309&gt;0,E309,IF(D309&gt;0,IF(AND(EchFIXE,R309&gt;0),ROUND((L309-C309)*R309/(1-((1+R309)^-D309)),NbDeci),ROUND(L309/D309,NbDeci)),S308))</x:f>
      </x:c>
    </x:row>
    <x:row r="310" spans="1:31" x14ac:dyDescent="0.2">
      <x:c r="B310" s="334"/>
      <x:c r="C310" s="335"/>
      <x:c r="D310" s="336"/>
      <x:c r="E310" s="337"/>
      <x:c r="F310" s="338"/>
      <x:c r="H310" s="327">
        <x:f>IF(L310=0,"",H309+1)</x:f>
      </x:c>
      <x:c r="I310" s="328">
        <x:f>IF(L310&gt;0,NbEch+Différé+1-H310,"")</x:f>
      </x:c>
      <x:c r="J310" s="339">
        <x:f>IF(ISNUMBER(K310),YEAR(K310),"")</x:f>
      </x:c>
      <x:c r="K310" s="340">
        <x:f>IF(L310=0,"",IF(Ijour=0,MIN(DATE(YEAR(DebAmort),MONTH(DebAmort)+MoisD+(H310-1)*Imois,Jour2),DATE(YEAR(DebAmort),MONTH(DebAmort)+MoisD+1+(H310-1)*Imois,0)),DATE(YEAR(DebAmort),MONTH(DebAmort),Jour1+(H310-1)*Ijour)))</x:f>
      </x:c>
      <x:c r="L310" s="341">
        <x:f>L309-N309</x:f>
      </x:c>
      <x:c r="M310" s="331">
        <x:f>IF(H310&lt;=NoEchMaxi,ROUND(L310*R310,NbDeci),0)</x:f>
      </x:c>
      <x:c r="N310" s="330">
        <x:f>IF(OR(H310&lt;=Différé,H310&gt;NoEchMaxi),IF(DiffTotal,-M310,0),IF(H310&gt;=NoEchRemb,L310,IF(S310-(M310*EchFIXE)&gt;L310-2,L310,S310-(M310*EchFIXE))))+C310</x:f>
      </x:c>
      <x:c r="O310" s="332">
        <x:f>IF(OR(L310=0,H310&gt;NoEchMaxi),0,ROUND(FraisF+FraisV*L310,NbDeci))+F310</x:f>
      </x:c>
      <x:c r="P310" s="342">
        <x:f>SUM(M310:O310)</x:f>
      </x:c>
      <x:c r="Q310" s="0"/>
      <x:c r="R310" s="71">
        <x:f>IF(B310&gt;0,IF(TauxActuariel,((B310+1)^(1/NbEchAn))-1,B310/NbEchAn),R309)</x:f>
      </x:c>
      <x:c r="S310" s="70">
        <x:f>IF(E310&gt;0,E310,IF(D310&gt;0,IF(AND(EchFIXE,R310&gt;0),ROUND((L310-C310)*R310/(1-((1+R310)^-D310)),NbDeci),ROUND(L310/D310,NbDeci)),S309))</x:f>
      </x:c>
    </x:row>
    <x:row r="311" spans="1:31" x14ac:dyDescent="0.2">
      <x:c r="B311" s="334"/>
      <x:c r="C311" s="335"/>
      <x:c r="D311" s="336"/>
      <x:c r="E311" s="337"/>
      <x:c r="F311" s="338"/>
      <x:c r="H311" s="327">
        <x:f>IF(L311=0,"",H310+1)</x:f>
      </x:c>
      <x:c r="I311" s="328">
        <x:f>IF(L311&gt;0,NbEch+Différé+1-H311,"")</x:f>
      </x:c>
      <x:c r="J311" s="339">
        <x:f>IF(ISNUMBER(K311),YEAR(K311),"")</x:f>
      </x:c>
      <x:c r="K311" s="340">
        <x:f>IF(L311=0,"",IF(Ijour=0,MIN(DATE(YEAR(DebAmort),MONTH(DebAmort)+(H311-1)*Imois,Jour1),DATE(YEAR(DebAmort),MONTH(DebAmort)+1+(H311-1)*Imois,0)),DATE(YEAR(DebAmort),MONTH(DebAmort),Jour1+(H311-1)*Ijour)))</x:f>
      </x:c>
      <x:c r="L311" s="341">
        <x:f>L310-N310</x:f>
      </x:c>
      <x:c r="M311" s="331">
        <x:f>IF(H311&lt;=NoEchMaxi,ROUND(L311*R311,NbDeci),0)</x:f>
      </x:c>
      <x:c r="N311" s="330">
        <x:f>IF(OR(H311&lt;=Différé,H311&gt;NoEchMaxi),IF(DiffTotal,-M311,0),IF(H311&gt;=NoEchRemb,L311,IF(S311-(M311*EchFIXE)&gt;L311-2,L311,S311-(M311*EchFIXE))))+C311</x:f>
      </x:c>
      <x:c r="O311" s="332">
        <x:f>IF(OR(L311=0,H311&gt;NoEchMaxi),0,ROUND(FraisF+FraisV*L311,NbDeci))+F311</x:f>
      </x:c>
      <x:c r="P311" s="342">
        <x:f>SUM(M311:O311)</x:f>
      </x:c>
      <x:c r="Q311" s="0"/>
      <x:c r="R311" s="71">
        <x:f>IF(B311&gt;0,IF(TauxActuariel,((B311+1)^(1/NbEchAn))-1,B311/NbEchAn),R310)</x:f>
      </x:c>
      <x:c r="S311" s="70">
        <x:f>IF(E311&gt;0,E311,IF(D311&gt;0,IF(AND(EchFIXE,R311&gt;0),ROUND((L311-C311)*R311/(1-((1+R311)^-D311)),NbDeci),ROUND(L311/D311,NbDeci)),S310))</x:f>
      </x:c>
    </x:row>
    <x:row r="312" spans="1:31" x14ac:dyDescent="0.2">
      <x:c r="B312" s="334"/>
      <x:c r="C312" s="335"/>
      <x:c r="D312" s="336"/>
      <x:c r="E312" s="337"/>
      <x:c r="F312" s="338"/>
      <x:c r="H312" s="327">
        <x:f>IF(L312=0,"",H311+1)</x:f>
      </x:c>
      <x:c r="I312" s="328">
        <x:f>IF(L312&gt;0,NbEch+Différé+1-H312,"")</x:f>
      </x:c>
      <x:c r="J312" s="339">
        <x:f>IF(ISNUMBER(K312),YEAR(K312),"")</x:f>
      </x:c>
      <x:c r="K312" s="340">
        <x:f>IF(L312=0,"",IF(Ijour=0,MIN(DATE(YEAR(DebAmort),MONTH(DebAmort)+MoisD+(H312-1)*Imois,Jour2),DATE(YEAR(DebAmort),MONTH(DebAmort)+MoisD+1+(H312-1)*Imois,0)),DATE(YEAR(DebAmort),MONTH(DebAmort),Jour1+(H312-1)*Ijour)))</x:f>
      </x:c>
      <x:c r="L312" s="341">
        <x:f>L311-N311</x:f>
      </x:c>
      <x:c r="M312" s="331">
        <x:f>IF(H312&lt;=NoEchMaxi,ROUND(L312*R312,NbDeci),0)</x:f>
      </x:c>
      <x:c r="N312" s="330">
        <x:f>IF(OR(H312&lt;=Différé,H312&gt;NoEchMaxi),IF(DiffTotal,-M312,0),IF(H312&gt;=NoEchRemb,L312,IF(S312-(M312*EchFIXE)&gt;L312-2,L312,S312-(M312*EchFIXE))))+C312</x:f>
      </x:c>
      <x:c r="O312" s="332">
        <x:f>IF(OR(L312=0,H312&gt;NoEchMaxi),0,ROUND(FraisF+FraisV*L312,NbDeci))+F312</x:f>
      </x:c>
      <x:c r="P312" s="342">
        <x:f>SUM(M312:O312)</x:f>
      </x:c>
      <x:c r="Q312" s="0"/>
      <x:c r="R312" s="71">
        <x:f>IF(B312&gt;0,IF(TauxActuariel,((B312+1)^(1/NbEchAn))-1,B312/NbEchAn),R311)</x:f>
      </x:c>
      <x:c r="S312" s="70">
        <x:f>IF(E312&gt;0,E312,IF(D312&gt;0,IF(AND(EchFIXE,R312&gt;0),ROUND((L312-C312)*R312/(1-((1+R312)^-D312)),NbDeci),ROUND(L312/D312,NbDeci)),S311))</x:f>
      </x:c>
    </x:row>
    <x:row r="313" spans="1:31" x14ac:dyDescent="0.2">
      <x:c r="B313" s="334"/>
      <x:c r="C313" s="335"/>
      <x:c r="D313" s="336"/>
      <x:c r="E313" s="337"/>
      <x:c r="F313" s="338"/>
      <x:c r="H313" s="327">
        <x:f>IF(L313=0,"",H312+1)</x:f>
      </x:c>
      <x:c r="I313" s="328">
        <x:f>IF(L313&gt;0,NbEch+Différé+1-H313,"")</x:f>
      </x:c>
      <x:c r="J313" s="339">
        <x:f>IF(ISNUMBER(K313),YEAR(K313),"")</x:f>
      </x:c>
      <x:c r="K313" s="340">
        <x:f>IF(L313=0,"",IF(Ijour=0,MIN(DATE(YEAR(DebAmort),MONTH(DebAmort)+(H313-1)*Imois,Jour1),DATE(YEAR(DebAmort),MONTH(DebAmort)+1+(H313-1)*Imois,0)),DATE(YEAR(DebAmort),MONTH(DebAmort),Jour1+(H313-1)*Ijour)))</x:f>
      </x:c>
      <x:c r="L313" s="341">
        <x:f>L312-N312</x:f>
      </x:c>
      <x:c r="M313" s="331">
        <x:f>IF(H313&lt;=NoEchMaxi,ROUND(L313*R313,NbDeci),0)</x:f>
      </x:c>
      <x:c r="N313" s="330">
        <x:f>IF(OR(H313&lt;=Différé,H313&gt;NoEchMaxi),IF(DiffTotal,-M313,0),IF(H313&gt;=NoEchRemb,L313,IF(S313-(M313*EchFIXE)&gt;L313-2,L313,S313-(M313*EchFIXE))))+C313</x:f>
      </x:c>
      <x:c r="O313" s="332">
        <x:f>IF(OR(L313=0,H313&gt;NoEchMaxi),0,ROUND(FraisF+FraisV*L313,NbDeci))+F313</x:f>
      </x:c>
      <x:c r="P313" s="342">
        <x:f>SUM(M313:O313)</x:f>
      </x:c>
      <x:c r="Q313" s="0"/>
      <x:c r="R313" s="71">
        <x:f>IF(B313&gt;0,IF(TauxActuariel,((B313+1)^(1/NbEchAn))-1,B313/NbEchAn),R312)</x:f>
      </x:c>
      <x:c r="S313" s="70">
        <x:f>IF(E313&gt;0,E313,IF(D313&gt;0,IF(AND(EchFIXE,R313&gt;0),ROUND((L313-C313)*R313/(1-((1+R313)^-D313)),NbDeci),ROUND(L313/D313,NbDeci)),S312))</x:f>
      </x:c>
    </x:row>
    <x:row r="314" spans="1:31" x14ac:dyDescent="0.2">
      <x:c r="B314" s="334"/>
      <x:c r="C314" s="335"/>
      <x:c r="D314" s="336"/>
      <x:c r="E314" s="337"/>
      <x:c r="F314" s="338"/>
      <x:c r="H314" s="327">
        <x:f>IF(L314=0,"",H313+1)</x:f>
      </x:c>
      <x:c r="I314" s="328">
        <x:f>IF(L314&gt;0,NbEch+Différé+1-H314,"")</x:f>
      </x:c>
      <x:c r="J314" s="339">
        <x:f>IF(ISNUMBER(K314),YEAR(K314),"")</x:f>
      </x:c>
      <x:c r="K314" s="340">
        <x:f>IF(L314=0,"",IF(Ijour=0,MIN(DATE(YEAR(DebAmort),MONTH(DebAmort)+MoisD+(H314-1)*Imois,Jour2),DATE(YEAR(DebAmort),MONTH(DebAmort)+MoisD+1+(H314-1)*Imois,0)),DATE(YEAR(DebAmort),MONTH(DebAmort),Jour1+(H314-1)*Ijour)))</x:f>
      </x:c>
      <x:c r="L314" s="341">
        <x:f>L313-N313</x:f>
      </x:c>
      <x:c r="M314" s="331">
        <x:f>IF(H314&lt;=NoEchMaxi,ROUND(L314*R314,NbDeci),0)</x:f>
      </x:c>
      <x:c r="N314" s="330">
        <x:f>IF(OR(H314&lt;=Différé,H314&gt;NoEchMaxi),IF(DiffTotal,-M314,0),IF(H314&gt;=NoEchRemb,L314,IF(S314-(M314*EchFIXE)&gt;L314-2,L314,S314-(M314*EchFIXE))))+C314</x:f>
      </x:c>
      <x:c r="O314" s="332">
        <x:f>IF(OR(L314=0,H314&gt;NoEchMaxi),0,ROUND(FraisF+FraisV*L314,NbDeci))+F314</x:f>
      </x:c>
      <x:c r="P314" s="342">
        <x:f>SUM(M314:O314)</x:f>
      </x:c>
      <x:c r="Q314" s="0"/>
      <x:c r="R314" s="71">
        <x:f>IF(B314&gt;0,IF(TauxActuariel,((B314+1)^(1/NbEchAn))-1,B314/NbEchAn),R313)</x:f>
      </x:c>
      <x:c r="S314" s="70">
        <x:f>IF(E314&gt;0,E314,IF(D314&gt;0,IF(AND(EchFIXE,R314&gt;0),ROUND((L314-C314)*R314/(1-((1+R314)^-D314)),NbDeci),ROUND(L314/D314,NbDeci)),S313))</x:f>
      </x:c>
    </x:row>
    <x:row r="315" spans="1:31" x14ac:dyDescent="0.2">
      <x:c r="B315" s="334"/>
      <x:c r="C315" s="335"/>
      <x:c r="D315" s="336"/>
      <x:c r="E315" s="337"/>
      <x:c r="F315" s="338"/>
      <x:c r="H315" s="327">
        <x:f>IF(L315=0,"",H314+1)</x:f>
      </x:c>
      <x:c r="I315" s="328">
        <x:f>IF(L315&gt;0,NbEch+Différé+1-H315,"")</x:f>
      </x:c>
      <x:c r="J315" s="339">
        <x:f>IF(ISNUMBER(K315),YEAR(K315),"")</x:f>
      </x:c>
      <x:c r="K315" s="340">
        <x:f>IF(L315=0,"",IF(Ijour=0,MIN(DATE(YEAR(DebAmort),MONTH(DebAmort)+(H315-1)*Imois,Jour1),DATE(YEAR(DebAmort),MONTH(DebAmort)+1+(H315-1)*Imois,0)),DATE(YEAR(DebAmort),MONTH(DebAmort),Jour1+(H315-1)*Ijour)))</x:f>
      </x:c>
      <x:c r="L315" s="341">
        <x:f>L314-N314</x:f>
      </x:c>
      <x:c r="M315" s="331">
        <x:f>IF(H315&lt;=NoEchMaxi,ROUND(L315*R315,NbDeci),0)</x:f>
      </x:c>
      <x:c r="N315" s="330">
        <x:f>IF(OR(H315&lt;=Différé,H315&gt;NoEchMaxi),IF(DiffTotal,-M315,0),IF(H315&gt;=NoEchRemb,L315,IF(S315-(M315*EchFIXE)&gt;L315-2,L315,S315-(M315*EchFIXE))))+C315</x:f>
      </x:c>
      <x:c r="O315" s="332">
        <x:f>IF(OR(L315=0,H315&gt;NoEchMaxi),0,ROUND(FraisF+FraisV*L315,NbDeci))+F315</x:f>
      </x:c>
      <x:c r="P315" s="342">
        <x:f>SUM(M315:O315)</x:f>
      </x:c>
      <x:c r="Q315" s="0"/>
      <x:c r="R315" s="71">
        <x:f>IF(B315&gt;0,IF(TauxActuariel,((B315+1)^(1/NbEchAn))-1,B315/NbEchAn),R314)</x:f>
      </x:c>
      <x:c r="S315" s="70">
        <x:f>IF(E315&gt;0,E315,IF(D315&gt;0,IF(AND(EchFIXE,R315&gt;0),ROUND((L315-C315)*R315/(1-((1+R315)^-D315)),NbDeci),ROUND(L315/D315,NbDeci)),S314))</x:f>
      </x:c>
    </x:row>
    <x:row r="316" spans="1:31" x14ac:dyDescent="0.2">
      <x:c r="B316" s="334"/>
      <x:c r="C316" s="335"/>
      <x:c r="D316" s="336"/>
      <x:c r="E316" s="337"/>
      <x:c r="F316" s="338"/>
      <x:c r="H316" s="327">
        <x:f>IF(L316=0,"",H315+1)</x:f>
      </x:c>
      <x:c r="I316" s="328">
        <x:f>IF(L316&gt;0,NbEch+Différé+1-H316,"")</x:f>
      </x:c>
      <x:c r="J316" s="339">
        <x:f>IF(ISNUMBER(K316),YEAR(K316),"")</x:f>
      </x:c>
      <x:c r="K316" s="340">
        <x:f>IF(L316=0,"",IF(Ijour=0,MIN(DATE(YEAR(DebAmort),MONTH(DebAmort)+MoisD+(H316-1)*Imois,Jour2),DATE(YEAR(DebAmort),MONTH(DebAmort)+MoisD+1+(H316-1)*Imois,0)),DATE(YEAR(DebAmort),MONTH(DebAmort),Jour1+(H316-1)*Ijour)))</x:f>
      </x:c>
      <x:c r="L316" s="341">
        <x:f>L315-N315</x:f>
      </x:c>
      <x:c r="M316" s="331">
        <x:f>IF(H316&lt;=NoEchMaxi,ROUND(L316*R316,NbDeci),0)</x:f>
      </x:c>
      <x:c r="N316" s="330">
        <x:f>IF(OR(H316&lt;=Différé,H316&gt;NoEchMaxi),IF(DiffTotal,-M316,0),IF(H316&gt;=NoEchRemb,L316,IF(S316-(M316*EchFIXE)&gt;L316-2,L316,S316-(M316*EchFIXE))))+C316</x:f>
      </x:c>
      <x:c r="O316" s="332">
        <x:f>IF(OR(L316=0,H316&gt;NoEchMaxi),0,ROUND(FraisF+FraisV*L316,NbDeci))+F316</x:f>
      </x:c>
      <x:c r="P316" s="342">
        <x:f>SUM(M316:O316)</x:f>
      </x:c>
      <x:c r="Q316" s="0"/>
      <x:c r="R316" s="71">
        <x:f>IF(B316&gt;0,IF(TauxActuariel,((B316+1)^(1/NbEchAn))-1,B316/NbEchAn),R315)</x:f>
      </x:c>
      <x:c r="S316" s="70">
        <x:f>IF(E316&gt;0,E316,IF(D316&gt;0,IF(AND(EchFIXE,R316&gt;0),ROUND((L316-C316)*R316/(1-((1+R316)^-D316)),NbDeci),ROUND(L316/D316,NbDeci)),S315))</x:f>
      </x:c>
    </x:row>
    <x:row r="317" spans="1:31" x14ac:dyDescent="0.2">
      <x:c r="B317" s="334"/>
      <x:c r="C317" s="335"/>
      <x:c r="D317" s="336"/>
      <x:c r="E317" s="337"/>
      <x:c r="F317" s="338"/>
      <x:c r="H317" s="327">
        <x:f>IF(L317=0,"",H316+1)</x:f>
      </x:c>
      <x:c r="I317" s="328">
        <x:f>IF(L317&gt;0,NbEch+Différé+1-H317,"")</x:f>
      </x:c>
      <x:c r="J317" s="339">
        <x:f>IF(ISNUMBER(K317),YEAR(K317),"")</x:f>
      </x:c>
      <x:c r="K317" s="340">
        <x:f>IF(L317=0,"",IF(Ijour=0,MIN(DATE(YEAR(DebAmort),MONTH(DebAmort)+(H317-1)*Imois,Jour1),DATE(YEAR(DebAmort),MONTH(DebAmort)+1+(H317-1)*Imois,0)),DATE(YEAR(DebAmort),MONTH(DebAmort),Jour1+(H317-1)*Ijour)))</x:f>
      </x:c>
      <x:c r="L317" s="341">
        <x:f>L316-N316</x:f>
      </x:c>
      <x:c r="M317" s="331">
        <x:f>IF(H317&lt;=NoEchMaxi,ROUND(L317*R317,NbDeci),0)</x:f>
      </x:c>
      <x:c r="N317" s="330">
        <x:f>IF(OR(H317&lt;=Différé,H317&gt;NoEchMaxi),IF(DiffTotal,-M317,0),IF(H317&gt;=NoEchRemb,L317,IF(S317-(M317*EchFIXE)&gt;L317-2,L317,S317-(M317*EchFIXE))))+C317</x:f>
      </x:c>
      <x:c r="O317" s="332">
        <x:f>IF(OR(L317=0,H317&gt;NoEchMaxi),0,ROUND(FraisF+FraisV*L317,NbDeci))+F317</x:f>
      </x:c>
      <x:c r="P317" s="342">
        <x:f>SUM(M317:O317)</x:f>
      </x:c>
      <x:c r="Q317" s="0"/>
      <x:c r="R317" s="71">
        <x:f>IF(B317&gt;0,IF(TauxActuariel,((B317+1)^(1/NbEchAn))-1,B317/NbEchAn),R316)</x:f>
      </x:c>
      <x:c r="S317" s="70">
        <x:f>IF(E317&gt;0,E317,IF(D317&gt;0,IF(AND(EchFIXE,R317&gt;0),ROUND((L317-C317)*R317/(1-((1+R317)^-D317)),NbDeci),ROUND(L317/D317,NbDeci)),S316))</x:f>
      </x:c>
    </x:row>
    <x:row r="318" spans="1:31" x14ac:dyDescent="0.2">
      <x:c r="B318" s="334"/>
      <x:c r="C318" s="335"/>
      <x:c r="D318" s="336"/>
      <x:c r="E318" s="337"/>
      <x:c r="F318" s="338"/>
      <x:c r="H318" s="327">
        <x:f>IF(L318=0,"",H317+1)</x:f>
      </x:c>
      <x:c r="I318" s="328">
        <x:f>IF(L318&gt;0,NbEch+Différé+1-H318,"")</x:f>
      </x:c>
      <x:c r="J318" s="339">
        <x:f>IF(ISNUMBER(K318),YEAR(K318),"")</x:f>
      </x:c>
      <x:c r="K318" s="340">
        <x:f>IF(L318=0,"",IF(Ijour=0,MIN(DATE(YEAR(DebAmort),MONTH(DebAmort)+MoisD+(H318-1)*Imois,Jour2),DATE(YEAR(DebAmort),MONTH(DebAmort)+MoisD+1+(H318-1)*Imois,0)),DATE(YEAR(DebAmort),MONTH(DebAmort),Jour1+(H318-1)*Ijour)))</x:f>
      </x:c>
      <x:c r="L318" s="341">
        <x:f>L317-N317</x:f>
      </x:c>
      <x:c r="M318" s="331">
        <x:f>IF(H318&lt;=NoEchMaxi,ROUND(L318*R318,NbDeci),0)</x:f>
      </x:c>
      <x:c r="N318" s="330">
        <x:f>IF(OR(H318&lt;=Différé,H318&gt;NoEchMaxi),IF(DiffTotal,-M318,0),IF(H318&gt;=NoEchRemb,L318,IF(S318-(M318*EchFIXE)&gt;L318-2,L318,S318-(M318*EchFIXE))))+C318</x:f>
      </x:c>
      <x:c r="O318" s="332">
        <x:f>IF(OR(L318=0,H318&gt;NoEchMaxi),0,ROUND(FraisF+FraisV*L318,NbDeci))+F318</x:f>
      </x:c>
      <x:c r="P318" s="342">
        <x:f>SUM(M318:O318)</x:f>
      </x:c>
      <x:c r="Q318" s="0"/>
      <x:c r="R318" s="71">
        <x:f>IF(B318&gt;0,IF(TauxActuariel,((B318+1)^(1/NbEchAn))-1,B318/NbEchAn),R317)</x:f>
      </x:c>
      <x:c r="S318" s="70">
        <x:f>IF(E318&gt;0,E318,IF(D318&gt;0,IF(AND(EchFIXE,R318&gt;0),ROUND((L318-C318)*R318/(1-((1+R318)^-D318)),NbDeci),ROUND(L318/D318,NbDeci)),S317))</x:f>
      </x:c>
    </x:row>
    <x:row r="319" spans="1:31" x14ac:dyDescent="0.2">
      <x:c r="B319" s="334"/>
      <x:c r="C319" s="335"/>
      <x:c r="D319" s="336"/>
      <x:c r="E319" s="337"/>
      <x:c r="F319" s="338"/>
      <x:c r="H319" s="327">
        <x:f>IF(L319=0,"",H318+1)</x:f>
      </x:c>
      <x:c r="I319" s="328">
        <x:f>IF(L319&gt;0,NbEch+Différé+1-H319,"")</x:f>
      </x:c>
      <x:c r="J319" s="339">
        <x:f>IF(ISNUMBER(K319),YEAR(K319),"")</x:f>
      </x:c>
      <x:c r="K319" s="340">
        <x:f>IF(L319=0,"",IF(Ijour=0,MIN(DATE(YEAR(DebAmort),MONTH(DebAmort)+(H319-1)*Imois,Jour1),DATE(YEAR(DebAmort),MONTH(DebAmort)+1+(H319-1)*Imois,0)),DATE(YEAR(DebAmort),MONTH(DebAmort),Jour1+(H319-1)*Ijour)))</x:f>
      </x:c>
      <x:c r="L319" s="341">
        <x:f>L318-N318</x:f>
      </x:c>
      <x:c r="M319" s="331">
        <x:f>IF(H319&lt;=NoEchMaxi,ROUND(L319*R319,NbDeci),0)</x:f>
      </x:c>
      <x:c r="N319" s="330">
        <x:f>IF(OR(H319&lt;=Différé,H319&gt;NoEchMaxi),IF(DiffTotal,-M319,0),IF(H319&gt;=NoEchRemb,L319,IF(S319-(M319*EchFIXE)&gt;L319-2,L319,S319-(M319*EchFIXE))))+C319</x:f>
      </x:c>
      <x:c r="O319" s="332">
        <x:f>IF(OR(L319=0,H319&gt;NoEchMaxi),0,ROUND(FraisF+FraisV*L319,NbDeci))+F319</x:f>
      </x:c>
      <x:c r="P319" s="342">
        <x:f>SUM(M319:O319)</x:f>
      </x:c>
      <x:c r="Q319" s="0"/>
      <x:c r="R319" s="71">
        <x:f>IF(B319&gt;0,IF(TauxActuariel,((B319+1)^(1/NbEchAn))-1,B319/NbEchAn),R318)</x:f>
      </x:c>
      <x:c r="S319" s="70">
        <x:f>IF(E319&gt;0,E319,IF(D319&gt;0,IF(AND(EchFIXE,R319&gt;0),ROUND((L319-C319)*R319/(1-((1+R319)^-D319)),NbDeci),ROUND(L319/D319,NbDeci)),S318))</x:f>
      </x:c>
    </x:row>
    <x:row r="320" spans="1:31" x14ac:dyDescent="0.2">
      <x:c r="B320" s="334"/>
      <x:c r="C320" s="335"/>
      <x:c r="D320" s="336"/>
      <x:c r="E320" s="337"/>
      <x:c r="F320" s="338"/>
      <x:c r="H320" s="327">
        <x:f>IF(L320=0,"",H319+1)</x:f>
      </x:c>
      <x:c r="I320" s="328">
        <x:f>IF(L320&gt;0,NbEch+Différé+1-H320,"")</x:f>
      </x:c>
      <x:c r="J320" s="339">
        <x:f>IF(ISNUMBER(K320),YEAR(K320),"")</x:f>
      </x:c>
      <x:c r="K320" s="340">
        <x:f>IF(L320=0,"",IF(Ijour=0,MIN(DATE(YEAR(DebAmort),MONTH(DebAmort)+MoisD+(H320-1)*Imois,Jour2),DATE(YEAR(DebAmort),MONTH(DebAmort)+MoisD+1+(H320-1)*Imois,0)),DATE(YEAR(DebAmort),MONTH(DebAmort),Jour1+(H320-1)*Ijour)))</x:f>
      </x:c>
      <x:c r="L320" s="341">
        <x:f>L319-N319</x:f>
      </x:c>
      <x:c r="M320" s="331">
        <x:f>IF(H320&lt;=NoEchMaxi,ROUND(L320*R320,NbDeci),0)</x:f>
      </x:c>
      <x:c r="N320" s="330">
        <x:f>IF(OR(H320&lt;=Différé,H320&gt;NoEchMaxi),IF(DiffTotal,-M320,0),IF(H320&gt;=NoEchRemb,L320,IF(S320-(M320*EchFIXE)&gt;L320-2,L320,S320-(M320*EchFIXE))))+C320</x:f>
      </x:c>
      <x:c r="O320" s="332">
        <x:f>IF(OR(L320=0,H320&gt;NoEchMaxi),0,ROUND(FraisF+FraisV*L320,NbDeci))+F320</x:f>
      </x:c>
      <x:c r="P320" s="342">
        <x:f>SUM(M320:O320)</x:f>
      </x:c>
      <x:c r="Q320" s="0"/>
      <x:c r="R320" s="71">
        <x:f>IF(B320&gt;0,IF(TauxActuariel,((B320+1)^(1/NbEchAn))-1,B320/NbEchAn),R319)</x:f>
      </x:c>
      <x:c r="S320" s="70">
        <x:f>IF(E320&gt;0,E320,IF(D320&gt;0,IF(AND(EchFIXE,R320&gt;0),ROUND((L320-C320)*R320/(1-((1+R320)^-D320)),NbDeci),ROUND(L320/D320,NbDeci)),S319))</x:f>
      </x:c>
    </x:row>
    <x:row r="321" spans="1:31" x14ac:dyDescent="0.2">
      <x:c r="B321" s="334"/>
      <x:c r="C321" s="335"/>
      <x:c r="D321" s="336"/>
      <x:c r="E321" s="337"/>
      <x:c r="F321" s="338"/>
      <x:c r="H321" s="327">
        <x:f>IF(L321=0,"",H320+1)</x:f>
      </x:c>
      <x:c r="I321" s="328">
        <x:f>IF(L321&gt;0,NbEch+Différé+1-H321,"")</x:f>
      </x:c>
      <x:c r="J321" s="339">
        <x:f>IF(ISNUMBER(K321),YEAR(K321),"")</x:f>
      </x:c>
      <x:c r="K321" s="340">
        <x:f>IF(L321=0,"",IF(Ijour=0,MIN(DATE(YEAR(DebAmort),MONTH(DebAmort)+(H321-1)*Imois,Jour1),DATE(YEAR(DebAmort),MONTH(DebAmort)+1+(H321-1)*Imois,0)),DATE(YEAR(DebAmort),MONTH(DebAmort),Jour1+(H321-1)*Ijour)))</x:f>
      </x:c>
      <x:c r="L321" s="341">
        <x:f>L320-N320</x:f>
      </x:c>
      <x:c r="M321" s="331">
        <x:f>IF(H321&lt;=NoEchMaxi,ROUND(L321*R321,NbDeci),0)</x:f>
      </x:c>
      <x:c r="N321" s="330">
        <x:f>IF(OR(H321&lt;=Différé,H321&gt;NoEchMaxi),IF(DiffTotal,-M321,0),IF(H321&gt;=NoEchRemb,L321,IF(S321-(M321*EchFIXE)&gt;L321-2,L321,S321-(M321*EchFIXE))))+C321</x:f>
      </x:c>
      <x:c r="O321" s="332">
        <x:f>IF(OR(L321=0,H321&gt;NoEchMaxi),0,ROUND(FraisF+FraisV*L321,NbDeci))+F321</x:f>
      </x:c>
      <x:c r="P321" s="342">
        <x:f>SUM(M321:O321)</x:f>
      </x:c>
      <x:c r="Q321" s="0"/>
      <x:c r="R321" s="71">
        <x:f>IF(B321&gt;0,IF(TauxActuariel,((B321+1)^(1/NbEchAn))-1,B321/NbEchAn),R320)</x:f>
      </x:c>
      <x:c r="S321" s="70">
        <x:f>IF(E321&gt;0,E321,IF(D321&gt;0,IF(AND(EchFIXE,R321&gt;0),ROUND((L321-C321)*R321/(1-((1+R321)^-D321)),NbDeci),ROUND(L321/D321,NbDeci)),S320))</x:f>
      </x:c>
    </x:row>
    <x:row r="322" spans="1:31" x14ac:dyDescent="0.2">
      <x:c r="B322" s="334"/>
      <x:c r="C322" s="335"/>
      <x:c r="D322" s="336"/>
      <x:c r="E322" s="337"/>
      <x:c r="F322" s="338"/>
      <x:c r="H322" s="327">
        <x:f>IF(L322=0,"",H321+1)</x:f>
      </x:c>
      <x:c r="I322" s="328">
        <x:f>IF(L322&gt;0,NbEch+Différé+1-H322,"")</x:f>
      </x:c>
      <x:c r="J322" s="339">
        <x:f>IF(ISNUMBER(K322),YEAR(K322),"")</x:f>
      </x:c>
      <x:c r="K322" s="340">
        <x:f>IF(L322=0,"",IF(Ijour=0,MIN(DATE(YEAR(DebAmort),MONTH(DebAmort)+MoisD+(H322-1)*Imois,Jour2),DATE(YEAR(DebAmort),MONTH(DebAmort)+MoisD+1+(H322-1)*Imois,0)),DATE(YEAR(DebAmort),MONTH(DebAmort),Jour1+(H322-1)*Ijour)))</x:f>
      </x:c>
      <x:c r="L322" s="341">
        <x:f>L321-N321</x:f>
      </x:c>
      <x:c r="M322" s="331">
        <x:f>IF(H322&lt;=NoEchMaxi,ROUND(L322*R322,NbDeci),0)</x:f>
      </x:c>
      <x:c r="N322" s="330">
        <x:f>IF(OR(H322&lt;=Différé,H322&gt;NoEchMaxi),IF(DiffTotal,-M322,0),IF(H322&gt;=NoEchRemb,L322,IF(S322-(M322*EchFIXE)&gt;L322-2,L322,S322-(M322*EchFIXE))))+C322</x:f>
      </x:c>
      <x:c r="O322" s="332">
        <x:f>IF(OR(L322=0,H322&gt;NoEchMaxi),0,ROUND(FraisF+FraisV*L322,NbDeci))+F322</x:f>
      </x:c>
      <x:c r="P322" s="342">
        <x:f>SUM(M322:O322)</x:f>
      </x:c>
      <x:c r="Q322" s="0"/>
      <x:c r="R322" s="71">
        <x:f>IF(B322&gt;0,IF(TauxActuariel,((B322+1)^(1/NbEchAn))-1,B322/NbEchAn),R321)</x:f>
      </x:c>
      <x:c r="S322" s="70">
        <x:f>IF(E322&gt;0,E322,IF(D322&gt;0,IF(AND(EchFIXE,R322&gt;0),ROUND((L322-C322)*R322/(1-((1+R322)^-D322)),NbDeci),ROUND(L322/D322,NbDeci)),S321))</x:f>
      </x:c>
    </x:row>
    <x:row r="323" spans="1:31" x14ac:dyDescent="0.2">
      <x:c r="B323" s="334"/>
      <x:c r="C323" s="335"/>
      <x:c r="D323" s="336"/>
      <x:c r="E323" s="337"/>
      <x:c r="F323" s="338"/>
      <x:c r="H323" s="327">
        <x:f>IF(L323=0,"",H322+1)</x:f>
      </x:c>
      <x:c r="I323" s="328">
        <x:f>IF(L323&gt;0,NbEch+Différé+1-H323,"")</x:f>
      </x:c>
      <x:c r="J323" s="339">
        <x:f>IF(ISNUMBER(K323),YEAR(K323),"")</x:f>
      </x:c>
      <x:c r="K323" s="340">
        <x:f>IF(L323=0,"",IF(Ijour=0,MIN(DATE(YEAR(DebAmort),MONTH(DebAmort)+(H323-1)*Imois,Jour1),DATE(YEAR(DebAmort),MONTH(DebAmort)+1+(H323-1)*Imois,0)),DATE(YEAR(DebAmort),MONTH(DebAmort),Jour1+(H323-1)*Ijour)))</x:f>
      </x:c>
      <x:c r="L323" s="341">
        <x:f>L322-N322</x:f>
      </x:c>
      <x:c r="M323" s="331">
        <x:f>IF(H323&lt;=NoEchMaxi,ROUND(L323*R323,NbDeci),0)</x:f>
      </x:c>
      <x:c r="N323" s="330">
        <x:f>IF(OR(H323&lt;=Différé,H323&gt;NoEchMaxi),IF(DiffTotal,-M323,0),IF(H323&gt;=NoEchRemb,L323,IF(S323-(M323*EchFIXE)&gt;L323-2,L323,S323-(M323*EchFIXE))))+C323</x:f>
      </x:c>
      <x:c r="O323" s="332">
        <x:f>IF(OR(L323=0,H323&gt;NoEchMaxi),0,ROUND(FraisF+FraisV*L323,NbDeci))+F323</x:f>
      </x:c>
      <x:c r="P323" s="342">
        <x:f>SUM(M323:O323)</x:f>
      </x:c>
      <x:c r="Q323" s="0"/>
      <x:c r="R323" s="71">
        <x:f>IF(B323&gt;0,IF(TauxActuariel,((B323+1)^(1/NbEchAn))-1,B323/NbEchAn),R322)</x:f>
      </x:c>
      <x:c r="S323" s="70">
        <x:f>IF(E323&gt;0,E323,IF(D323&gt;0,IF(AND(EchFIXE,R323&gt;0),ROUND((L323-C323)*R323/(1-((1+R323)^-D323)),NbDeci),ROUND(L323/D323,NbDeci)),S322))</x:f>
      </x:c>
    </x:row>
    <x:row r="324" spans="1:31" x14ac:dyDescent="0.2">
      <x:c r="B324" s="334"/>
      <x:c r="C324" s="335"/>
      <x:c r="D324" s="336"/>
      <x:c r="E324" s="337"/>
      <x:c r="F324" s="338"/>
      <x:c r="H324" s="327">
        <x:f>IF(L324=0,"",H323+1)</x:f>
      </x:c>
      <x:c r="I324" s="328">
        <x:f>IF(L324&gt;0,NbEch+Différé+1-H324,"")</x:f>
      </x:c>
      <x:c r="J324" s="339">
        <x:f>IF(ISNUMBER(K324),YEAR(K324),"")</x:f>
      </x:c>
      <x:c r="K324" s="340">
        <x:f>IF(L324=0,"",IF(Ijour=0,MIN(DATE(YEAR(DebAmort),MONTH(DebAmort)+MoisD+(H324-1)*Imois,Jour2),DATE(YEAR(DebAmort),MONTH(DebAmort)+MoisD+1+(H324-1)*Imois,0)),DATE(YEAR(DebAmort),MONTH(DebAmort),Jour1+(H324-1)*Ijour)))</x:f>
      </x:c>
      <x:c r="L324" s="341">
        <x:f>L323-N323</x:f>
      </x:c>
      <x:c r="M324" s="331">
        <x:f>IF(H324&lt;=NoEchMaxi,ROUND(L324*R324,NbDeci),0)</x:f>
      </x:c>
      <x:c r="N324" s="330">
        <x:f>IF(OR(H324&lt;=Différé,H324&gt;NoEchMaxi),IF(DiffTotal,-M324,0),IF(H324&gt;=NoEchRemb,L324,IF(S324-(M324*EchFIXE)&gt;L324-2,L324,S324-(M324*EchFIXE))))+C324</x:f>
      </x:c>
      <x:c r="O324" s="332">
        <x:f>IF(OR(L324=0,H324&gt;NoEchMaxi),0,ROUND(FraisF+FraisV*L324,NbDeci))+F324</x:f>
      </x:c>
      <x:c r="P324" s="342">
        <x:f>SUM(M324:O324)</x:f>
      </x:c>
      <x:c r="Q324" s="0"/>
      <x:c r="R324" s="71">
        <x:f>IF(B324&gt;0,IF(TauxActuariel,((B324+1)^(1/NbEchAn))-1,B324/NbEchAn),R323)</x:f>
      </x:c>
      <x:c r="S324" s="70">
        <x:f>IF(E324&gt;0,E324,IF(D324&gt;0,IF(AND(EchFIXE,R324&gt;0),ROUND((L324-C324)*R324/(1-((1+R324)^-D324)),NbDeci),ROUND(L324/D324,NbDeci)),S323))</x:f>
      </x:c>
    </x:row>
    <x:row r="325" spans="1:31" x14ac:dyDescent="0.2">
      <x:c r="B325" s="334"/>
      <x:c r="C325" s="335"/>
      <x:c r="D325" s="336"/>
      <x:c r="E325" s="337"/>
      <x:c r="F325" s="338"/>
      <x:c r="H325" s="327">
        <x:f>IF(L325=0,"",H324+1)</x:f>
      </x:c>
      <x:c r="I325" s="328">
        <x:f>IF(L325&gt;0,NbEch+Différé+1-H325,"")</x:f>
      </x:c>
      <x:c r="J325" s="339">
        <x:f>IF(ISNUMBER(K325),YEAR(K325),"")</x:f>
      </x:c>
      <x:c r="K325" s="340">
        <x:f>IF(L325=0,"",IF(Ijour=0,MIN(DATE(YEAR(DebAmort),MONTH(DebAmort)+(H325-1)*Imois,Jour1),DATE(YEAR(DebAmort),MONTH(DebAmort)+1+(H325-1)*Imois,0)),DATE(YEAR(DebAmort),MONTH(DebAmort),Jour1+(H325-1)*Ijour)))</x:f>
      </x:c>
      <x:c r="L325" s="341">
        <x:f>L324-N324</x:f>
      </x:c>
      <x:c r="M325" s="331">
        <x:f>IF(H325&lt;=NoEchMaxi,ROUND(L325*R325,NbDeci),0)</x:f>
      </x:c>
      <x:c r="N325" s="330">
        <x:f>IF(OR(H325&lt;=Différé,H325&gt;NoEchMaxi),IF(DiffTotal,-M325,0),IF(H325&gt;=NoEchRemb,L325,IF(S325-(M325*EchFIXE)&gt;L325-2,L325,S325-(M325*EchFIXE))))+C325</x:f>
      </x:c>
      <x:c r="O325" s="332">
        <x:f>IF(OR(L325=0,H325&gt;NoEchMaxi),0,ROUND(FraisF+FraisV*L325,NbDeci))+F325</x:f>
      </x:c>
      <x:c r="P325" s="342">
        <x:f>SUM(M325:O325)</x:f>
      </x:c>
      <x:c r="Q325" s="0"/>
      <x:c r="R325" s="71">
        <x:f>IF(B325&gt;0,IF(TauxActuariel,((B325+1)^(1/NbEchAn))-1,B325/NbEchAn),R324)</x:f>
      </x:c>
      <x:c r="S325" s="70">
        <x:f>IF(E325&gt;0,E325,IF(D325&gt;0,IF(AND(EchFIXE,R325&gt;0),ROUND((L325-C325)*R325/(1-((1+R325)^-D325)),NbDeci),ROUND(L325/D325,NbDeci)),S324))</x:f>
      </x:c>
    </x:row>
    <x:row r="326" spans="1:31" x14ac:dyDescent="0.2">
      <x:c r="B326" s="334"/>
      <x:c r="C326" s="335"/>
      <x:c r="D326" s="336"/>
      <x:c r="E326" s="337"/>
      <x:c r="F326" s="338"/>
      <x:c r="H326" s="327">
        <x:f>IF(L326=0,"",H325+1)</x:f>
      </x:c>
      <x:c r="I326" s="328">
        <x:f>IF(L326&gt;0,NbEch+Différé+1-H326,"")</x:f>
      </x:c>
      <x:c r="J326" s="339">
        <x:f>IF(ISNUMBER(K326),YEAR(K326),"")</x:f>
      </x:c>
      <x:c r="K326" s="340">
        <x:f>IF(L326=0,"",IF(Ijour=0,MIN(DATE(YEAR(DebAmort),MONTH(DebAmort)+MoisD+(H326-1)*Imois,Jour2),DATE(YEAR(DebAmort),MONTH(DebAmort)+MoisD+1+(H326-1)*Imois,0)),DATE(YEAR(DebAmort),MONTH(DebAmort),Jour1+(H326-1)*Ijour)))</x:f>
      </x:c>
      <x:c r="L326" s="341">
        <x:f>L325-N325</x:f>
      </x:c>
      <x:c r="M326" s="331">
        <x:f>IF(H326&lt;=NoEchMaxi,ROUND(L326*R326,NbDeci),0)</x:f>
      </x:c>
      <x:c r="N326" s="330">
        <x:f>IF(OR(H326&lt;=Différé,H326&gt;NoEchMaxi),IF(DiffTotal,-M326,0),IF(H326&gt;=NoEchRemb,L326,IF(S326-(M326*EchFIXE)&gt;L326-2,L326,S326-(M326*EchFIXE))))+C326</x:f>
      </x:c>
      <x:c r="O326" s="332">
        <x:f>IF(OR(L326=0,H326&gt;NoEchMaxi),0,ROUND(FraisF+FraisV*L326,NbDeci))+F326</x:f>
      </x:c>
      <x:c r="P326" s="342">
        <x:f>SUM(M326:O326)</x:f>
      </x:c>
      <x:c r="Q326" s="0"/>
      <x:c r="R326" s="71">
        <x:f>IF(B326&gt;0,IF(TauxActuariel,((B326+1)^(1/NbEchAn))-1,B326/NbEchAn),R325)</x:f>
      </x:c>
      <x:c r="S326" s="70">
        <x:f>IF(E326&gt;0,E326,IF(D326&gt;0,IF(AND(EchFIXE,R326&gt;0),ROUND((L326-C326)*R326/(1-((1+R326)^-D326)),NbDeci),ROUND(L326/D326,NbDeci)),S325))</x:f>
      </x:c>
    </x:row>
    <x:row r="327" spans="1:31" x14ac:dyDescent="0.2">
      <x:c r="B327" s="334"/>
      <x:c r="C327" s="335"/>
      <x:c r="D327" s="336"/>
      <x:c r="E327" s="337"/>
      <x:c r="F327" s="338"/>
      <x:c r="H327" s="327">
        <x:f>IF(L327=0,"",H326+1)</x:f>
      </x:c>
      <x:c r="I327" s="328">
        <x:f>IF(L327&gt;0,NbEch+Différé+1-H327,"")</x:f>
      </x:c>
      <x:c r="J327" s="339">
        <x:f>IF(ISNUMBER(K327),YEAR(K327),"")</x:f>
      </x:c>
      <x:c r="K327" s="340">
        <x:f>IF(L327=0,"",IF(Ijour=0,MIN(DATE(YEAR(DebAmort),MONTH(DebAmort)+(H327-1)*Imois,Jour1),DATE(YEAR(DebAmort),MONTH(DebAmort)+1+(H327-1)*Imois,0)),DATE(YEAR(DebAmort),MONTH(DebAmort),Jour1+(H327-1)*Ijour)))</x:f>
      </x:c>
      <x:c r="L327" s="341">
        <x:f>L326-N326</x:f>
      </x:c>
      <x:c r="M327" s="331">
        <x:f>IF(H327&lt;=NoEchMaxi,ROUND(L327*R327,NbDeci),0)</x:f>
      </x:c>
      <x:c r="N327" s="330">
        <x:f>IF(OR(H327&lt;=Différé,H327&gt;NoEchMaxi),IF(DiffTotal,-M327,0),IF(H327&gt;=NoEchRemb,L327,IF(S327-(M327*EchFIXE)&gt;L327-2,L327,S327-(M327*EchFIXE))))+C327</x:f>
      </x:c>
      <x:c r="O327" s="332">
        <x:f>IF(OR(L327=0,H327&gt;NoEchMaxi),0,ROUND(FraisF+FraisV*L327,NbDeci))+F327</x:f>
      </x:c>
      <x:c r="P327" s="342">
        <x:f>SUM(M327:O327)</x:f>
      </x:c>
      <x:c r="Q327" s="0"/>
      <x:c r="R327" s="71">
        <x:f>IF(B327&gt;0,IF(TauxActuariel,((B327+1)^(1/NbEchAn))-1,B327/NbEchAn),R326)</x:f>
      </x:c>
      <x:c r="S327" s="70">
        <x:f>IF(E327&gt;0,E327,IF(D327&gt;0,IF(AND(EchFIXE,R327&gt;0),ROUND((L327-C327)*R327/(1-((1+R327)^-D327)),NbDeci),ROUND(L327/D327,NbDeci)),S326))</x:f>
      </x:c>
    </x:row>
    <x:row r="328" spans="1:31" x14ac:dyDescent="0.2">
      <x:c r="B328" s="334"/>
      <x:c r="C328" s="335"/>
      <x:c r="D328" s="336"/>
      <x:c r="E328" s="337"/>
      <x:c r="F328" s="338"/>
      <x:c r="H328" s="327">
        <x:f>IF(L328=0,"",H327+1)</x:f>
      </x:c>
      <x:c r="I328" s="328">
        <x:f>IF(L328&gt;0,NbEch+Différé+1-H328,"")</x:f>
      </x:c>
      <x:c r="J328" s="339">
        <x:f>IF(ISNUMBER(K328),YEAR(K328),"")</x:f>
      </x:c>
      <x:c r="K328" s="340">
        <x:f>IF(L328=0,"",IF(Ijour=0,MIN(DATE(YEAR(DebAmort),MONTH(DebAmort)+MoisD+(H328-1)*Imois,Jour2),DATE(YEAR(DebAmort),MONTH(DebAmort)+MoisD+1+(H328-1)*Imois,0)),DATE(YEAR(DebAmort),MONTH(DebAmort),Jour1+(H328-1)*Ijour)))</x:f>
      </x:c>
      <x:c r="L328" s="341">
        <x:f>L327-N327</x:f>
      </x:c>
      <x:c r="M328" s="331">
        <x:f>IF(H328&lt;=NoEchMaxi,ROUND(L328*R328,NbDeci),0)</x:f>
      </x:c>
      <x:c r="N328" s="330">
        <x:f>IF(OR(H328&lt;=Différé,H328&gt;NoEchMaxi),IF(DiffTotal,-M328,0),IF(H328&gt;=NoEchRemb,L328,IF(S328-(M328*EchFIXE)&gt;L328-2,L328,S328-(M328*EchFIXE))))+C328</x:f>
      </x:c>
      <x:c r="O328" s="332">
        <x:f>IF(OR(L328=0,H328&gt;NoEchMaxi),0,ROUND(FraisF+FraisV*L328,NbDeci))+F328</x:f>
      </x:c>
      <x:c r="P328" s="342">
        <x:f>SUM(M328:O328)</x:f>
      </x:c>
      <x:c r="Q328" s="0"/>
      <x:c r="R328" s="71">
        <x:f>IF(B328&gt;0,IF(TauxActuariel,((B328+1)^(1/NbEchAn))-1,B328/NbEchAn),R327)</x:f>
      </x:c>
      <x:c r="S328" s="70">
        <x:f>IF(E328&gt;0,E328,IF(D328&gt;0,IF(AND(EchFIXE,R328&gt;0),ROUND((L328-C328)*R328/(1-((1+R328)^-D328)),NbDeci),ROUND(L328/D328,NbDeci)),S327))</x:f>
      </x:c>
    </x:row>
    <x:row r="329" spans="1:31" x14ac:dyDescent="0.2">
      <x:c r="B329" s="334"/>
      <x:c r="C329" s="335"/>
      <x:c r="D329" s="336"/>
      <x:c r="E329" s="337"/>
      <x:c r="F329" s="338"/>
      <x:c r="H329" s="327">
        <x:f>IF(L329=0,"",H328+1)</x:f>
      </x:c>
      <x:c r="I329" s="328">
        <x:f>IF(L329&gt;0,NbEch+Différé+1-H329,"")</x:f>
      </x:c>
      <x:c r="J329" s="339">
        <x:f>IF(ISNUMBER(K329),YEAR(K329),"")</x:f>
      </x:c>
      <x:c r="K329" s="340">
        <x:f>IF(L329=0,"",IF(Ijour=0,MIN(DATE(YEAR(DebAmort),MONTH(DebAmort)+(H329-1)*Imois,Jour1),DATE(YEAR(DebAmort),MONTH(DebAmort)+1+(H329-1)*Imois,0)),DATE(YEAR(DebAmort),MONTH(DebAmort),Jour1+(H329-1)*Ijour)))</x:f>
      </x:c>
      <x:c r="L329" s="341">
        <x:f>L328-N328</x:f>
      </x:c>
      <x:c r="M329" s="331">
        <x:f>IF(H329&lt;=NoEchMaxi,ROUND(L329*R329,NbDeci),0)</x:f>
      </x:c>
      <x:c r="N329" s="330">
        <x:f>IF(OR(H329&lt;=Différé,H329&gt;NoEchMaxi),IF(DiffTotal,-M329,0),IF(H329&gt;=NoEchRemb,L329,IF(S329-(M329*EchFIXE)&gt;L329-2,L329,S329-(M329*EchFIXE))))+C329</x:f>
      </x:c>
      <x:c r="O329" s="332">
        <x:f>IF(OR(L329=0,H329&gt;NoEchMaxi),0,ROUND(FraisF+FraisV*L329,NbDeci))+F329</x:f>
      </x:c>
      <x:c r="P329" s="342">
        <x:f>SUM(M329:O329)</x:f>
      </x:c>
      <x:c r="Q329" s="0"/>
      <x:c r="R329" s="71">
        <x:f>IF(B329&gt;0,IF(TauxActuariel,((B329+1)^(1/NbEchAn))-1,B329/NbEchAn),R328)</x:f>
      </x:c>
      <x:c r="S329" s="70">
        <x:f>IF(E329&gt;0,E329,IF(D329&gt;0,IF(AND(EchFIXE,R329&gt;0),ROUND((L329-C329)*R329/(1-((1+R329)^-D329)),NbDeci),ROUND(L329/D329,NbDeci)),S328))</x:f>
      </x:c>
    </x:row>
    <x:row r="330" spans="1:31" x14ac:dyDescent="0.2">
      <x:c r="B330" s="334"/>
      <x:c r="C330" s="335"/>
      <x:c r="D330" s="336"/>
      <x:c r="E330" s="337"/>
      <x:c r="F330" s="338"/>
      <x:c r="H330" s="327">
        <x:f>IF(L330=0,"",H329+1)</x:f>
      </x:c>
      <x:c r="I330" s="328">
        <x:f>IF(L330&gt;0,NbEch+Différé+1-H330,"")</x:f>
      </x:c>
      <x:c r="J330" s="339">
        <x:f>IF(ISNUMBER(K330),YEAR(K330),"")</x:f>
      </x:c>
      <x:c r="K330" s="340">
        <x:f>IF(L330=0,"",IF(Ijour=0,MIN(DATE(YEAR(DebAmort),MONTH(DebAmort)+MoisD+(H330-1)*Imois,Jour2),DATE(YEAR(DebAmort),MONTH(DebAmort)+MoisD+1+(H330-1)*Imois,0)),DATE(YEAR(DebAmort),MONTH(DebAmort),Jour1+(H330-1)*Ijour)))</x:f>
      </x:c>
      <x:c r="L330" s="341">
        <x:f>L329-N329</x:f>
      </x:c>
      <x:c r="M330" s="331">
        <x:f>IF(H330&lt;=NoEchMaxi,ROUND(L330*R330,NbDeci),0)</x:f>
      </x:c>
      <x:c r="N330" s="330">
        <x:f>IF(OR(H330&lt;=Différé,H330&gt;NoEchMaxi),IF(DiffTotal,-M330,0),IF(H330&gt;=NoEchRemb,L330,IF(S330-(M330*EchFIXE)&gt;L330-2,L330,S330-(M330*EchFIXE))))+C330</x:f>
      </x:c>
      <x:c r="O330" s="332">
        <x:f>IF(OR(L330=0,H330&gt;NoEchMaxi),0,ROUND(FraisF+FraisV*L330,NbDeci))+F330</x:f>
      </x:c>
      <x:c r="P330" s="342">
        <x:f>SUM(M330:O330)</x:f>
      </x:c>
      <x:c r="Q330" s="0"/>
      <x:c r="R330" s="71">
        <x:f>IF(B330&gt;0,IF(TauxActuariel,((B330+1)^(1/NbEchAn))-1,B330/NbEchAn),R329)</x:f>
      </x:c>
      <x:c r="S330" s="70">
        <x:f>IF(E330&gt;0,E330,IF(D330&gt;0,IF(AND(EchFIXE,R330&gt;0),ROUND((L330-C330)*R330/(1-((1+R330)^-D330)),NbDeci),ROUND(L330/D330,NbDeci)),S329))</x:f>
      </x:c>
    </x:row>
    <x:row r="331" spans="1:31" x14ac:dyDescent="0.2">
      <x:c r="B331" s="334"/>
      <x:c r="C331" s="335"/>
      <x:c r="D331" s="336"/>
      <x:c r="E331" s="337"/>
      <x:c r="F331" s="338"/>
      <x:c r="H331" s="327">
        <x:f>IF(L331=0,"",H330+1)</x:f>
      </x:c>
      <x:c r="I331" s="328">
        <x:f>IF(L331&gt;0,NbEch+Différé+1-H331,"")</x:f>
      </x:c>
      <x:c r="J331" s="339">
        <x:f>IF(ISNUMBER(K331),YEAR(K331),"")</x:f>
      </x:c>
      <x:c r="K331" s="340">
        <x:f>IF(L331=0,"",IF(Ijour=0,MIN(DATE(YEAR(DebAmort),MONTH(DebAmort)+(H331-1)*Imois,Jour1),DATE(YEAR(DebAmort),MONTH(DebAmort)+1+(H331-1)*Imois,0)),DATE(YEAR(DebAmort),MONTH(DebAmort),Jour1+(H331-1)*Ijour)))</x:f>
      </x:c>
      <x:c r="L331" s="341">
        <x:f>L330-N330</x:f>
      </x:c>
      <x:c r="M331" s="331">
        <x:f>IF(H331&lt;=NoEchMaxi,ROUND(L331*R331,NbDeci),0)</x:f>
      </x:c>
      <x:c r="N331" s="330">
        <x:f>IF(OR(H331&lt;=Différé,H331&gt;NoEchMaxi),IF(DiffTotal,-M331,0),IF(H331&gt;=NoEchRemb,L331,IF(S331-(M331*EchFIXE)&gt;L331-2,L331,S331-(M331*EchFIXE))))+C331</x:f>
      </x:c>
      <x:c r="O331" s="332">
        <x:f>IF(OR(L331=0,H331&gt;NoEchMaxi),0,ROUND(FraisF+FraisV*L331,NbDeci))+F331</x:f>
      </x:c>
      <x:c r="P331" s="342">
        <x:f>SUM(M331:O331)</x:f>
      </x:c>
      <x:c r="Q331" s="0"/>
      <x:c r="R331" s="71">
        <x:f>IF(B331&gt;0,IF(TauxActuariel,((B331+1)^(1/NbEchAn))-1,B331/NbEchAn),R330)</x:f>
      </x:c>
      <x:c r="S331" s="70">
        <x:f>IF(E331&gt;0,E331,IF(D331&gt;0,IF(AND(EchFIXE,R331&gt;0),ROUND((L331-C331)*R331/(1-((1+R331)^-D331)),NbDeci),ROUND(L331/D331,NbDeci)),S330))</x:f>
      </x:c>
    </x:row>
    <x:row r="332" spans="1:31" x14ac:dyDescent="0.2">
      <x:c r="B332" s="334"/>
      <x:c r="C332" s="335"/>
      <x:c r="D332" s="336"/>
      <x:c r="E332" s="337"/>
      <x:c r="F332" s="338"/>
      <x:c r="H332" s="327">
        <x:f>IF(L332=0,"",H331+1)</x:f>
      </x:c>
      <x:c r="I332" s="328">
        <x:f>IF(L332&gt;0,NbEch+Différé+1-H332,"")</x:f>
      </x:c>
      <x:c r="J332" s="339">
        <x:f>IF(ISNUMBER(K332),YEAR(K332),"")</x:f>
      </x:c>
      <x:c r="K332" s="340">
        <x:f>IF(L332=0,"",IF(Ijour=0,MIN(DATE(YEAR(DebAmort),MONTH(DebAmort)+MoisD+(H332-1)*Imois,Jour2),DATE(YEAR(DebAmort),MONTH(DebAmort)+MoisD+1+(H332-1)*Imois,0)),DATE(YEAR(DebAmort),MONTH(DebAmort),Jour1+(H332-1)*Ijour)))</x:f>
      </x:c>
      <x:c r="L332" s="341">
        <x:f>L331-N331</x:f>
      </x:c>
      <x:c r="M332" s="331">
        <x:f>IF(H332&lt;=NoEchMaxi,ROUND(L332*R332,NbDeci),0)</x:f>
      </x:c>
      <x:c r="N332" s="330">
        <x:f>IF(OR(H332&lt;=Différé,H332&gt;NoEchMaxi),IF(DiffTotal,-M332,0),IF(H332&gt;=NoEchRemb,L332,IF(S332-(M332*EchFIXE)&gt;L332-2,L332,S332-(M332*EchFIXE))))+C332</x:f>
      </x:c>
      <x:c r="O332" s="332">
        <x:f>IF(OR(L332=0,H332&gt;NoEchMaxi),0,ROUND(FraisF+FraisV*L332,NbDeci))+F332</x:f>
      </x:c>
      <x:c r="P332" s="342">
        <x:f>SUM(M332:O332)</x:f>
      </x:c>
      <x:c r="Q332" s="0"/>
      <x:c r="R332" s="71">
        <x:f>IF(B332&gt;0,IF(TauxActuariel,((B332+1)^(1/NbEchAn))-1,B332/NbEchAn),R331)</x:f>
      </x:c>
      <x:c r="S332" s="70">
        <x:f>IF(E332&gt;0,E332,IF(D332&gt;0,IF(AND(EchFIXE,R332&gt;0),ROUND((L332-C332)*R332/(1-((1+R332)^-D332)),NbDeci),ROUND(L332/D332,NbDeci)),S331))</x:f>
      </x:c>
    </x:row>
    <x:row r="333" spans="1:31" x14ac:dyDescent="0.2">
      <x:c r="B333" s="334"/>
      <x:c r="C333" s="335"/>
      <x:c r="D333" s="336"/>
      <x:c r="E333" s="337"/>
      <x:c r="F333" s="338"/>
      <x:c r="H333" s="327">
        <x:f>IF(L333=0,"",H332+1)</x:f>
      </x:c>
      <x:c r="I333" s="328">
        <x:f>IF(L333&gt;0,NbEch+Différé+1-H333,"")</x:f>
      </x:c>
      <x:c r="J333" s="339">
        <x:f>IF(ISNUMBER(K333),YEAR(K333),"")</x:f>
      </x:c>
      <x:c r="K333" s="340">
        <x:f>IF(L333=0,"",IF(Ijour=0,MIN(DATE(YEAR(DebAmort),MONTH(DebAmort)+(H333-1)*Imois,Jour1),DATE(YEAR(DebAmort),MONTH(DebAmort)+1+(H333-1)*Imois,0)),DATE(YEAR(DebAmort),MONTH(DebAmort),Jour1+(H333-1)*Ijour)))</x:f>
      </x:c>
      <x:c r="L333" s="341">
        <x:f>L332-N332</x:f>
      </x:c>
      <x:c r="M333" s="331">
        <x:f>IF(H333&lt;=NoEchMaxi,ROUND(L333*R333,NbDeci),0)</x:f>
      </x:c>
      <x:c r="N333" s="330">
        <x:f>IF(OR(H333&lt;=Différé,H333&gt;NoEchMaxi),IF(DiffTotal,-M333,0),IF(H333&gt;=NoEchRemb,L333,IF(S333-(M333*EchFIXE)&gt;L333-2,L333,S333-(M333*EchFIXE))))+C333</x:f>
      </x:c>
      <x:c r="O333" s="332">
        <x:f>IF(OR(L333=0,H333&gt;NoEchMaxi),0,ROUND(FraisF+FraisV*L333,NbDeci))+F333</x:f>
      </x:c>
      <x:c r="P333" s="342">
        <x:f>SUM(M333:O333)</x:f>
      </x:c>
      <x:c r="Q333" s="0"/>
      <x:c r="R333" s="71">
        <x:f>IF(B333&gt;0,IF(TauxActuariel,((B333+1)^(1/NbEchAn))-1,B333/NbEchAn),R332)</x:f>
      </x:c>
      <x:c r="S333" s="70">
        <x:f>IF(E333&gt;0,E333,IF(D333&gt;0,IF(AND(EchFIXE,R333&gt;0),ROUND((L333-C333)*R333/(1-((1+R333)^-D333)),NbDeci),ROUND(L333/D333,NbDeci)),S332))</x:f>
      </x:c>
    </x:row>
    <x:row r="334" spans="1:31" x14ac:dyDescent="0.2">
      <x:c r="B334" s="334"/>
      <x:c r="C334" s="335"/>
      <x:c r="D334" s="336"/>
      <x:c r="E334" s="337"/>
      <x:c r="F334" s="338"/>
      <x:c r="H334" s="327">
        <x:f>IF(L334=0,"",H333+1)</x:f>
      </x:c>
      <x:c r="I334" s="328">
        <x:f>IF(L334&gt;0,NbEch+Différé+1-H334,"")</x:f>
      </x:c>
      <x:c r="J334" s="339">
        <x:f>IF(ISNUMBER(K334),YEAR(K334),"")</x:f>
      </x:c>
      <x:c r="K334" s="340">
        <x:f>IF(L334=0,"",IF(Ijour=0,MIN(DATE(YEAR(DebAmort),MONTH(DebAmort)+MoisD+(H334-1)*Imois,Jour2),DATE(YEAR(DebAmort),MONTH(DebAmort)+MoisD+1+(H334-1)*Imois,0)),DATE(YEAR(DebAmort),MONTH(DebAmort),Jour1+(H334-1)*Ijour)))</x:f>
      </x:c>
      <x:c r="L334" s="341">
        <x:f>L333-N333</x:f>
      </x:c>
      <x:c r="M334" s="331">
        <x:f>IF(H334&lt;=NoEchMaxi,ROUND(L334*R334,NbDeci),0)</x:f>
      </x:c>
      <x:c r="N334" s="330">
        <x:f>IF(OR(H334&lt;=Différé,H334&gt;NoEchMaxi),IF(DiffTotal,-M334,0),IF(H334&gt;=NoEchRemb,L334,IF(S334-(M334*EchFIXE)&gt;L334-2,L334,S334-(M334*EchFIXE))))+C334</x:f>
      </x:c>
      <x:c r="O334" s="332">
        <x:f>IF(OR(L334=0,H334&gt;NoEchMaxi),0,ROUND(FraisF+FraisV*L334,NbDeci))+F334</x:f>
      </x:c>
      <x:c r="P334" s="342">
        <x:f>SUM(M334:O334)</x:f>
      </x:c>
      <x:c r="Q334" s="0"/>
      <x:c r="R334" s="71">
        <x:f>IF(B334&gt;0,IF(TauxActuariel,((B334+1)^(1/NbEchAn))-1,B334/NbEchAn),R333)</x:f>
      </x:c>
      <x:c r="S334" s="70">
        <x:f>IF(E334&gt;0,E334,IF(D334&gt;0,IF(AND(EchFIXE,R334&gt;0),ROUND((L334-C334)*R334/(1-((1+R334)^-D334)),NbDeci),ROUND(L334/D334,NbDeci)),S333))</x:f>
      </x:c>
    </x:row>
    <x:row r="335" spans="1:31" x14ac:dyDescent="0.2">
      <x:c r="B335" s="334"/>
      <x:c r="C335" s="335"/>
      <x:c r="D335" s="336"/>
      <x:c r="E335" s="337"/>
      <x:c r="F335" s="338"/>
      <x:c r="H335" s="327">
        <x:f>IF(L335=0,"",H334+1)</x:f>
      </x:c>
      <x:c r="I335" s="328">
        <x:f>IF(L335&gt;0,NbEch+Différé+1-H335,"")</x:f>
      </x:c>
      <x:c r="J335" s="339">
        <x:f>IF(ISNUMBER(K335),YEAR(K335),"")</x:f>
      </x:c>
      <x:c r="K335" s="340">
        <x:f>IF(L335=0,"",IF(Ijour=0,MIN(DATE(YEAR(DebAmort),MONTH(DebAmort)+(H335-1)*Imois,Jour1),DATE(YEAR(DebAmort),MONTH(DebAmort)+1+(H335-1)*Imois,0)),DATE(YEAR(DebAmort),MONTH(DebAmort),Jour1+(H335-1)*Ijour)))</x:f>
      </x:c>
      <x:c r="L335" s="341">
        <x:f>L334-N334</x:f>
      </x:c>
      <x:c r="M335" s="331">
        <x:f>IF(H335&lt;=NoEchMaxi,ROUND(L335*R335,NbDeci),0)</x:f>
      </x:c>
      <x:c r="N335" s="330">
        <x:f>IF(OR(H335&lt;=Différé,H335&gt;NoEchMaxi),IF(DiffTotal,-M335,0),IF(H335&gt;=NoEchRemb,L335,IF(S335-(M335*EchFIXE)&gt;L335-2,L335,S335-(M335*EchFIXE))))+C335</x:f>
      </x:c>
      <x:c r="O335" s="332">
        <x:f>IF(OR(L335=0,H335&gt;NoEchMaxi),0,ROUND(FraisF+FraisV*L335,NbDeci))+F335</x:f>
      </x:c>
      <x:c r="P335" s="342">
        <x:f>SUM(M335:O335)</x:f>
      </x:c>
      <x:c r="Q335" s="0"/>
      <x:c r="R335" s="71">
        <x:f>IF(B335&gt;0,IF(TauxActuariel,((B335+1)^(1/NbEchAn))-1,B335/NbEchAn),R334)</x:f>
      </x:c>
      <x:c r="S335" s="70">
        <x:f>IF(E335&gt;0,E335,IF(D335&gt;0,IF(AND(EchFIXE,R335&gt;0),ROUND((L335-C335)*R335/(1-((1+R335)^-D335)),NbDeci),ROUND(L335/D335,NbDeci)),S334))</x:f>
      </x:c>
    </x:row>
    <x:row r="336" spans="1:31" x14ac:dyDescent="0.2">
      <x:c r="B336" s="334"/>
      <x:c r="C336" s="335"/>
      <x:c r="D336" s="336"/>
      <x:c r="E336" s="337"/>
      <x:c r="F336" s="338"/>
      <x:c r="H336" s="327">
        <x:f>IF(L336=0,"",H335+1)</x:f>
      </x:c>
      <x:c r="I336" s="328">
        <x:f>IF(L336&gt;0,NbEch+Différé+1-H336,"")</x:f>
      </x:c>
      <x:c r="J336" s="339">
        <x:f>IF(ISNUMBER(K336),YEAR(K336),"")</x:f>
      </x:c>
      <x:c r="K336" s="340">
        <x:f>IF(L336=0,"",IF(Ijour=0,MIN(DATE(YEAR(DebAmort),MONTH(DebAmort)+MoisD+(H336-1)*Imois,Jour2),DATE(YEAR(DebAmort),MONTH(DebAmort)+MoisD+1+(H336-1)*Imois,0)),DATE(YEAR(DebAmort),MONTH(DebAmort),Jour1+(H336-1)*Ijour)))</x:f>
      </x:c>
      <x:c r="L336" s="341">
        <x:f>L335-N335</x:f>
      </x:c>
      <x:c r="M336" s="331">
        <x:f>IF(H336&lt;=NoEchMaxi,ROUND(L336*R336,NbDeci),0)</x:f>
      </x:c>
      <x:c r="N336" s="330">
        <x:f>IF(OR(H336&lt;=Différé,H336&gt;NoEchMaxi),IF(DiffTotal,-M336,0),IF(H336&gt;=NoEchRemb,L336,IF(S336-(M336*EchFIXE)&gt;L336-2,L336,S336-(M336*EchFIXE))))+C336</x:f>
      </x:c>
      <x:c r="O336" s="332">
        <x:f>IF(OR(L336=0,H336&gt;NoEchMaxi),0,ROUND(FraisF+FraisV*L336,NbDeci))+F336</x:f>
      </x:c>
      <x:c r="P336" s="342">
        <x:f>SUM(M336:O336)</x:f>
      </x:c>
      <x:c r="Q336" s="0"/>
      <x:c r="R336" s="71">
        <x:f>IF(B336&gt;0,IF(TauxActuariel,((B336+1)^(1/NbEchAn))-1,B336/NbEchAn),R335)</x:f>
      </x:c>
      <x:c r="S336" s="70">
        <x:f>IF(E336&gt;0,E336,IF(D336&gt;0,IF(AND(EchFIXE,R336&gt;0),ROUND((L336-C336)*R336/(1-((1+R336)^-D336)),NbDeci),ROUND(L336/D336,NbDeci)),S335))</x:f>
      </x:c>
    </x:row>
    <x:row r="337" spans="1:31" x14ac:dyDescent="0.2">
      <x:c r="B337" s="334"/>
      <x:c r="C337" s="335"/>
      <x:c r="D337" s="336"/>
      <x:c r="E337" s="337"/>
      <x:c r="F337" s="338"/>
      <x:c r="H337" s="327">
        <x:f>IF(L337=0,"",H336+1)</x:f>
      </x:c>
      <x:c r="I337" s="328">
        <x:f>IF(L337&gt;0,NbEch+Différé+1-H337,"")</x:f>
      </x:c>
      <x:c r="J337" s="339">
        <x:f>IF(ISNUMBER(K337),YEAR(K337),"")</x:f>
      </x:c>
      <x:c r="K337" s="340">
        <x:f>IF(L337=0,"",IF(Ijour=0,MIN(DATE(YEAR(DebAmort),MONTH(DebAmort)+(H337-1)*Imois,Jour1),DATE(YEAR(DebAmort),MONTH(DebAmort)+1+(H337-1)*Imois,0)),DATE(YEAR(DebAmort),MONTH(DebAmort),Jour1+(H337-1)*Ijour)))</x:f>
      </x:c>
      <x:c r="L337" s="341">
        <x:f>L336-N336</x:f>
      </x:c>
      <x:c r="M337" s="331">
        <x:f>IF(H337&lt;=NoEchMaxi,ROUND(L337*R337,NbDeci),0)</x:f>
      </x:c>
      <x:c r="N337" s="330">
        <x:f>IF(OR(H337&lt;=Différé,H337&gt;NoEchMaxi),IF(DiffTotal,-M337,0),IF(H337&gt;=NoEchRemb,L337,IF(S337-(M337*EchFIXE)&gt;L337-2,L337,S337-(M337*EchFIXE))))+C337</x:f>
      </x:c>
      <x:c r="O337" s="332">
        <x:f>IF(OR(L337=0,H337&gt;NoEchMaxi),0,ROUND(FraisF+FraisV*L337,NbDeci))+F337</x:f>
      </x:c>
      <x:c r="P337" s="342">
        <x:f>SUM(M337:O337)</x:f>
      </x:c>
      <x:c r="Q337" s="0"/>
      <x:c r="R337" s="71">
        <x:f>IF(B337&gt;0,IF(TauxActuariel,((B337+1)^(1/NbEchAn))-1,B337/NbEchAn),R336)</x:f>
      </x:c>
      <x:c r="S337" s="70">
        <x:f>IF(E337&gt;0,E337,IF(D337&gt;0,IF(AND(EchFIXE,R337&gt;0),ROUND((L337-C337)*R337/(1-((1+R337)^-D337)),NbDeci),ROUND(L337/D337,NbDeci)),S336))</x:f>
      </x:c>
    </x:row>
    <x:row r="338" spans="1:31" x14ac:dyDescent="0.2">
      <x:c r="B338" s="334"/>
      <x:c r="C338" s="335"/>
      <x:c r="D338" s="336"/>
      <x:c r="E338" s="337"/>
      <x:c r="F338" s="338"/>
      <x:c r="H338" s="327">
        <x:f>IF(L338=0,"",H337+1)</x:f>
      </x:c>
      <x:c r="I338" s="328">
        <x:f>IF(L338&gt;0,NbEch+Différé+1-H338,"")</x:f>
      </x:c>
      <x:c r="J338" s="339">
        <x:f>IF(ISNUMBER(K338),YEAR(K338),"")</x:f>
      </x:c>
      <x:c r="K338" s="340">
        <x:f>IF(L338=0,"",IF(Ijour=0,MIN(DATE(YEAR(DebAmort),MONTH(DebAmort)+MoisD+(H338-1)*Imois,Jour2),DATE(YEAR(DebAmort),MONTH(DebAmort)+MoisD+1+(H338-1)*Imois,0)),DATE(YEAR(DebAmort),MONTH(DebAmort),Jour1+(H338-1)*Ijour)))</x:f>
      </x:c>
      <x:c r="L338" s="341">
        <x:f>L337-N337</x:f>
      </x:c>
      <x:c r="M338" s="331">
        <x:f>IF(H338&lt;=NoEchMaxi,ROUND(L338*R338,NbDeci),0)</x:f>
      </x:c>
      <x:c r="N338" s="330">
        <x:f>IF(OR(H338&lt;=Différé,H338&gt;NoEchMaxi),IF(DiffTotal,-M338,0),IF(H338&gt;=NoEchRemb,L338,IF(S338-(M338*EchFIXE)&gt;L338-2,L338,S338-(M338*EchFIXE))))+C338</x:f>
      </x:c>
      <x:c r="O338" s="332">
        <x:f>IF(OR(L338=0,H338&gt;NoEchMaxi),0,ROUND(FraisF+FraisV*L338,NbDeci))+F338</x:f>
      </x:c>
      <x:c r="P338" s="342">
        <x:f>SUM(M338:O338)</x:f>
      </x:c>
      <x:c r="Q338" s="0"/>
      <x:c r="R338" s="71">
        <x:f>IF(B338&gt;0,IF(TauxActuariel,((B338+1)^(1/NbEchAn))-1,B338/NbEchAn),R337)</x:f>
      </x:c>
      <x:c r="S338" s="70">
        <x:f>IF(E338&gt;0,E338,IF(D338&gt;0,IF(AND(EchFIXE,R338&gt;0),ROUND((L338-C338)*R338/(1-((1+R338)^-D338)),NbDeci),ROUND(L338/D338,NbDeci)),S337))</x:f>
      </x:c>
    </x:row>
    <x:row r="339" spans="1:31" x14ac:dyDescent="0.2">
      <x:c r="B339" s="334"/>
      <x:c r="C339" s="335"/>
      <x:c r="D339" s="336"/>
      <x:c r="E339" s="337"/>
      <x:c r="F339" s="338"/>
      <x:c r="H339" s="327">
        <x:f>IF(L339=0,"",H338+1)</x:f>
      </x:c>
      <x:c r="I339" s="328">
        <x:f>IF(L339&gt;0,NbEch+Différé+1-H339,"")</x:f>
      </x:c>
      <x:c r="J339" s="339">
        <x:f>IF(ISNUMBER(K339),YEAR(K339),"")</x:f>
      </x:c>
      <x:c r="K339" s="340">
        <x:f>IF(L339=0,"",IF(Ijour=0,MIN(DATE(YEAR(DebAmort),MONTH(DebAmort)+(H339-1)*Imois,Jour1),DATE(YEAR(DebAmort),MONTH(DebAmort)+1+(H339-1)*Imois,0)),DATE(YEAR(DebAmort),MONTH(DebAmort),Jour1+(H339-1)*Ijour)))</x:f>
      </x:c>
      <x:c r="L339" s="341">
        <x:f>L338-N338</x:f>
      </x:c>
      <x:c r="M339" s="331">
        <x:f>IF(H339&lt;=NoEchMaxi,ROUND(L339*R339,NbDeci),0)</x:f>
      </x:c>
      <x:c r="N339" s="330">
        <x:f>IF(OR(H339&lt;=Différé,H339&gt;NoEchMaxi),IF(DiffTotal,-M339,0),IF(H339&gt;=NoEchRemb,L339,IF(S339-(M339*EchFIXE)&gt;L339-2,L339,S339-(M339*EchFIXE))))+C339</x:f>
      </x:c>
      <x:c r="O339" s="332">
        <x:f>IF(OR(L339=0,H339&gt;NoEchMaxi),0,ROUND(FraisF+FraisV*L339,NbDeci))+F339</x:f>
      </x:c>
      <x:c r="P339" s="342">
        <x:f>SUM(M339:O339)</x:f>
      </x:c>
      <x:c r="Q339" s="0"/>
      <x:c r="R339" s="71">
        <x:f>IF(B339&gt;0,IF(TauxActuariel,((B339+1)^(1/NbEchAn))-1,B339/NbEchAn),R338)</x:f>
      </x:c>
      <x:c r="S339" s="70">
        <x:f>IF(E339&gt;0,E339,IF(D339&gt;0,IF(AND(EchFIXE,R339&gt;0),ROUND((L339-C339)*R339/(1-((1+R339)^-D339)),NbDeci),ROUND(L339/D339,NbDeci)),S338))</x:f>
      </x:c>
    </x:row>
    <x:row r="340" spans="1:31" x14ac:dyDescent="0.2">
      <x:c r="B340" s="334"/>
      <x:c r="C340" s="335"/>
      <x:c r="D340" s="336"/>
      <x:c r="E340" s="337"/>
      <x:c r="F340" s="338"/>
      <x:c r="H340" s="327">
        <x:f>IF(L340=0,"",H339+1)</x:f>
      </x:c>
      <x:c r="I340" s="328">
        <x:f>IF(L340&gt;0,NbEch+Différé+1-H340,"")</x:f>
      </x:c>
      <x:c r="J340" s="339">
        <x:f>IF(ISNUMBER(K340),YEAR(K340),"")</x:f>
      </x:c>
      <x:c r="K340" s="340">
        <x:f>IF(L340=0,"",IF(Ijour=0,MIN(DATE(YEAR(DebAmort),MONTH(DebAmort)+MoisD+(H340-1)*Imois,Jour2),DATE(YEAR(DebAmort),MONTH(DebAmort)+MoisD+1+(H340-1)*Imois,0)),DATE(YEAR(DebAmort),MONTH(DebAmort),Jour1+(H340-1)*Ijour)))</x:f>
      </x:c>
      <x:c r="L340" s="341">
        <x:f>L339-N339</x:f>
      </x:c>
      <x:c r="M340" s="331">
        <x:f>IF(H340&lt;=NoEchMaxi,ROUND(L340*R340,NbDeci),0)</x:f>
      </x:c>
      <x:c r="N340" s="330">
        <x:f>IF(OR(H340&lt;=Différé,H340&gt;NoEchMaxi),IF(DiffTotal,-M340,0),IF(H340&gt;=NoEchRemb,L340,IF(S340-(M340*EchFIXE)&gt;L340-2,L340,S340-(M340*EchFIXE))))+C340</x:f>
      </x:c>
      <x:c r="O340" s="332">
        <x:f>IF(OR(L340=0,H340&gt;NoEchMaxi),0,ROUND(FraisF+FraisV*L340,NbDeci))+F340</x:f>
      </x:c>
      <x:c r="P340" s="342">
        <x:f>SUM(M340:O340)</x:f>
      </x:c>
      <x:c r="Q340" s="0"/>
      <x:c r="R340" s="71">
        <x:f>IF(B340&gt;0,IF(TauxActuariel,((B340+1)^(1/NbEchAn))-1,B340/NbEchAn),R339)</x:f>
      </x:c>
      <x:c r="S340" s="70">
        <x:f>IF(E340&gt;0,E340,IF(D340&gt;0,IF(AND(EchFIXE,R340&gt;0),ROUND((L340-C340)*R340/(1-((1+R340)^-D340)),NbDeci),ROUND(L340/D340,NbDeci)),S339))</x:f>
      </x:c>
    </x:row>
    <x:row r="341" spans="1:31" x14ac:dyDescent="0.2">
      <x:c r="B341" s="334"/>
      <x:c r="C341" s="335"/>
      <x:c r="D341" s="336"/>
      <x:c r="E341" s="337"/>
      <x:c r="F341" s="338"/>
      <x:c r="H341" s="327">
        <x:f>IF(L341=0,"",H340+1)</x:f>
      </x:c>
      <x:c r="I341" s="328">
        <x:f>IF(L341&gt;0,NbEch+Différé+1-H341,"")</x:f>
      </x:c>
      <x:c r="J341" s="339">
        <x:f>IF(ISNUMBER(K341),YEAR(K341),"")</x:f>
      </x:c>
      <x:c r="K341" s="340">
        <x:f>IF(L341=0,"",IF(Ijour=0,MIN(DATE(YEAR(DebAmort),MONTH(DebAmort)+(H341-1)*Imois,Jour1),DATE(YEAR(DebAmort),MONTH(DebAmort)+1+(H341-1)*Imois,0)),DATE(YEAR(DebAmort),MONTH(DebAmort),Jour1+(H341-1)*Ijour)))</x:f>
      </x:c>
      <x:c r="L341" s="341">
        <x:f>L340-N340</x:f>
      </x:c>
      <x:c r="M341" s="331">
        <x:f>IF(H341&lt;=NoEchMaxi,ROUND(L341*R341,NbDeci),0)</x:f>
      </x:c>
      <x:c r="N341" s="330">
        <x:f>IF(OR(H341&lt;=Différé,H341&gt;NoEchMaxi),IF(DiffTotal,-M341,0),IF(H341&gt;=NoEchRemb,L341,IF(S341-(M341*EchFIXE)&gt;L341-2,L341,S341-(M341*EchFIXE))))+C341</x:f>
      </x:c>
      <x:c r="O341" s="332">
        <x:f>IF(OR(L341=0,H341&gt;NoEchMaxi),0,ROUND(FraisF+FraisV*L341,NbDeci))+F341</x:f>
      </x:c>
      <x:c r="P341" s="342">
        <x:f>SUM(M341:O341)</x:f>
      </x:c>
      <x:c r="Q341" s="0"/>
      <x:c r="R341" s="71">
        <x:f>IF(B341&gt;0,IF(TauxActuariel,((B341+1)^(1/NbEchAn))-1,B341/NbEchAn),R340)</x:f>
      </x:c>
      <x:c r="S341" s="70">
        <x:f>IF(E341&gt;0,E341,IF(D341&gt;0,IF(AND(EchFIXE,R341&gt;0),ROUND((L341-C341)*R341/(1-((1+R341)^-D341)),NbDeci),ROUND(L341/D341,NbDeci)),S340))</x:f>
      </x:c>
    </x:row>
    <x:row r="342" spans="1:31" x14ac:dyDescent="0.2">
      <x:c r="B342" s="334"/>
      <x:c r="C342" s="335"/>
      <x:c r="D342" s="336"/>
      <x:c r="E342" s="337"/>
      <x:c r="F342" s="338"/>
      <x:c r="H342" s="327">
        <x:f>IF(L342=0,"",H341+1)</x:f>
      </x:c>
      <x:c r="I342" s="328">
        <x:f>IF(L342&gt;0,NbEch+Différé+1-H342,"")</x:f>
      </x:c>
      <x:c r="J342" s="339">
        <x:f>IF(ISNUMBER(K342),YEAR(K342),"")</x:f>
      </x:c>
      <x:c r="K342" s="340">
        <x:f>IF(L342=0,"",IF(Ijour=0,MIN(DATE(YEAR(DebAmort),MONTH(DebAmort)+MoisD+(H342-1)*Imois,Jour2),DATE(YEAR(DebAmort),MONTH(DebAmort)+MoisD+1+(H342-1)*Imois,0)),DATE(YEAR(DebAmort),MONTH(DebAmort),Jour1+(H342-1)*Ijour)))</x:f>
      </x:c>
      <x:c r="L342" s="341">
        <x:f>L341-N341</x:f>
      </x:c>
      <x:c r="M342" s="331">
        <x:f>IF(H342&lt;=NoEchMaxi,ROUND(L342*R342,NbDeci),0)</x:f>
      </x:c>
      <x:c r="N342" s="330">
        <x:f>IF(OR(H342&lt;=Différé,H342&gt;NoEchMaxi),IF(DiffTotal,-M342,0),IF(H342&gt;=NoEchRemb,L342,IF(S342-(M342*EchFIXE)&gt;L342-2,L342,S342-(M342*EchFIXE))))+C342</x:f>
      </x:c>
      <x:c r="O342" s="332">
        <x:f>IF(OR(L342=0,H342&gt;NoEchMaxi),0,ROUND(FraisF+FraisV*L342,NbDeci))+F342</x:f>
      </x:c>
      <x:c r="P342" s="342">
        <x:f>SUM(M342:O342)</x:f>
      </x:c>
      <x:c r="Q342" s="0"/>
      <x:c r="R342" s="71">
        <x:f>IF(B342&gt;0,IF(TauxActuariel,((B342+1)^(1/NbEchAn))-1,B342/NbEchAn),R341)</x:f>
      </x:c>
      <x:c r="S342" s="70">
        <x:f>IF(E342&gt;0,E342,IF(D342&gt;0,IF(AND(EchFIXE,R342&gt;0),ROUND((L342-C342)*R342/(1-((1+R342)^-D342)),NbDeci),ROUND(L342/D342,NbDeci)),S341))</x:f>
      </x:c>
    </x:row>
    <x:row r="343" spans="1:31" x14ac:dyDescent="0.2">
      <x:c r="B343" s="334"/>
      <x:c r="C343" s="335"/>
      <x:c r="D343" s="336"/>
      <x:c r="E343" s="337"/>
      <x:c r="F343" s="338"/>
      <x:c r="H343" s="327">
        <x:f>IF(L343=0,"",H342+1)</x:f>
      </x:c>
      <x:c r="I343" s="328">
        <x:f>IF(L343&gt;0,NbEch+Différé+1-H343,"")</x:f>
      </x:c>
      <x:c r="J343" s="339">
        <x:f>IF(ISNUMBER(K343),YEAR(K343),"")</x:f>
      </x:c>
      <x:c r="K343" s="340">
        <x:f>IF(L343=0,"",IF(Ijour=0,MIN(DATE(YEAR(DebAmort),MONTH(DebAmort)+(H343-1)*Imois,Jour1),DATE(YEAR(DebAmort),MONTH(DebAmort)+1+(H343-1)*Imois,0)),DATE(YEAR(DebAmort),MONTH(DebAmort),Jour1+(H343-1)*Ijour)))</x:f>
      </x:c>
      <x:c r="L343" s="341">
        <x:f>L342-N342</x:f>
      </x:c>
      <x:c r="M343" s="331">
        <x:f>IF(H343&lt;=NoEchMaxi,ROUND(L343*R343,NbDeci),0)</x:f>
      </x:c>
      <x:c r="N343" s="330">
        <x:f>IF(OR(H343&lt;=Différé,H343&gt;NoEchMaxi),IF(DiffTotal,-M343,0),IF(H343&gt;=NoEchRemb,L343,IF(S343-(M343*EchFIXE)&gt;L343-2,L343,S343-(M343*EchFIXE))))+C343</x:f>
      </x:c>
      <x:c r="O343" s="332">
        <x:f>IF(OR(L343=0,H343&gt;NoEchMaxi),0,ROUND(FraisF+FraisV*L343,NbDeci))+F343</x:f>
      </x:c>
      <x:c r="P343" s="342">
        <x:f>SUM(M343:O343)</x:f>
      </x:c>
      <x:c r="Q343" s="0"/>
      <x:c r="R343" s="71">
        <x:f>IF(B343&gt;0,IF(TauxActuariel,((B343+1)^(1/NbEchAn))-1,B343/NbEchAn),R342)</x:f>
      </x:c>
      <x:c r="S343" s="70">
        <x:f>IF(E343&gt;0,E343,IF(D343&gt;0,IF(AND(EchFIXE,R343&gt;0),ROUND((L343-C343)*R343/(1-((1+R343)^-D343)),NbDeci),ROUND(L343/D343,NbDeci)),S342))</x:f>
      </x:c>
    </x:row>
    <x:row r="344" spans="1:31" x14ac:dyDescent="0.2">
      <x:c r="B344" s="334"/>
      <x:c r="C344" s="335"/>
      <x:c r="D344" s="336"/>
      <x:c r="E344" s="337"/>
      <x:c r="F344" s="338"/>
      <x:c r="H344" s="327">
        <x:f>IF(L344=0,"",H343+1)</x:f>
      </x:c>
      <x:c r="I344" s="328">
        <x:f>IF(L344&gt;0,NbEch+Différé+1-H344,"")</x:f>
      </x:c>
      <x:c r="J344" s="339">
        <x:f>IF(ISNUMBER(K344),YEAR(K344),"")</x:f>
      </x:c>
      <x:c r="K344" s="340">
        <x:f>IF(L344=0,"",IF(Ijour=0,MIN(DATE(YEAR(DebAmort),MONTH(DebAmort)+MoisD+(H344-1)*Imois,Jour2),DATE(YEAR(DebAmort),MONTH(DebAmort)+MoisD+1+(H344-1)*Imois,0)),DATE(YEAR(DebAmort),MONTH(DebAmort),Jour1+(H344-1)*Ijour)))</x:f>
      </x:c>
      <x:c r="L344" s="341">
        <x:f>L343-N343</x:f>
      </x:c>
      <x:c r="M344" s="331">
        <x:f>IF(H344&lt;=NoEchMaxi,ROUND(L344*R344,NbDeci),0)</x:f>
      </x:c>
      <x:c r="N344" s="330">
        <x:f>IF(OR(H344&lt;=Différé,H344&gt;NoEchMaxi),IF(DiffTotal,-M344,0),IF(H344&gt;=NoEchRemb,L344,IF(S344-(M344*EchFIXE)&gt;L344-2,L344,S344-(M344*EchFIXE))))+C344</x:f>
      </x:c>
      <x:c r="O344" s="332">
        <x:f>IF(OR(L344=0,H344&gt;NoEchMaxi),0,ROUND(FraisF+FraisV*L344,NbDeci))+F344</x:f>
      </x:c>
      <x:c r="P344" s="342">
        <x:f>SUM(M344:O344)</x:f>
      </x:c>
      <x:c r="Q344" s="0"/>
      <x:c r="R344" s="71">
        <x:f>IF(B344&gt;0,IF(TauxActuariel,((B344+1)^(1/NbEchAn))-1,B344/NbEchAn),R343)</x:f>
      </x:c>
      <x:c r="S344" s="70">
        <x:f>IF(E344&gt;0,E344,IF(D344&gt;0,IF(AND(EchFIXE,R344&gt;0),ROUND((L344-C344)*R344/(1-((1+R344)^-D344)),NbDeci),ROUND(L344/D344,NbDeci)),S343))</x:f>
      </x:c>
    </x:row>
    <x:row r="345" spans="1:31" x14ac:dyDescent="0.2">
      <x:c r="B345" s="334"/>
      <x:c r="C345" s="335"/>
      <x:c r="D345" s="336"/>
      <x:c r="E345" s="337"/>
      <x:c r="F345" s="338"/>
      <x:c r="H345" s="327">
        <x:f>IF(L345=0,"",H344+1)</x:f>
      </x:c>
      <x:c r="I345" s="328">
        <x:f>IF(L345&gt;0,NbEch+Différé+1-H345,"")</x:f>
      </x:c>
      <x:c r="J345" s="339">
        <x:f>IF(ISNUMBER(K345),YEAR(K345),"")</x:f>
      </x:c>
      <x:c r="K345" s="340">
        <x:f>IF(L345=0,"",IF(Ijour=0,MIN(DATE(YEAR(DebAmort),MONTH(DebAmort)+(H345-1)*Imois,Jour1),DATE(YEAR(DebAmort),MONTH(DebAmort)+1+(H345-1)*Imois,0)),DATE(YEAR(DebAmort),MONTH(DebAmort),Jour1+(H345-1)*Ijour)))</x:f>
      </x:c>
      <x:c r="L345" s="341">
        <x:f>L344-N344</x:f>
      </x:c>
      <x:c r="M345" s="331">
        <x:f>IF(H345&lt;=NoEchMaxi,ROUND(L345*R345,NbDeci),0)</x:f>
      </x:c>
      <x:c r="N345" s="330">
        <x:f>IF(OR(H345&lt;=Différé,H345&gt;NoEchMaxi),IF(DiffTotal,-M345,0),IF(H345&gt;=NoEchRemb,L345,IF(S345-(M345*EchFIXE)&gt;L345-2,L345,S345-(M345*EchFIXE))))+C345</x:f>
      </x:c>
      <x:c r="O345" s="332">
        <x:f>IF(OR(L345=0,H345&gt;NoEchMaxi),0,ROUND(FraisF+FraisV*L345,NbDeci))+F345</x:f>
      </x:c>
      <x:c r="P345" s="342">
        <x:f>SUM(M345:O345)</x:f>
      </x:c>
      <x:c r="Q345" s="0"/>
      <x:c r="R345" s="71">
        <x:f>IF(B345&gt;0,IF(TauxActuariel,((B345+1)^(1/NbEchAn))-1,B345/NbEchAn),R344)</x:f>
      </x:c>
      <x:c r="S345" s="70">
        <x:f>IF(E345&gt;0,E345,IF(D345&gt;0,IF(AND(EchFIXE,R345&gt;0),ROUND((L345-C345)*R345/(1-((1+R345)^-D345)),NbDeci),ROUND(L345/D345,NbDeci)),S344))</x:f>
      </x:c>
    </x:row>
    <x:row r="346" spans="1:31" x14ac:dyDescent="0.2">
      <x:c r="B346" s="334"/>
      <x:c r="C346" s="335"/>
      <x:c r="D346" s="336"/>
      <x:c r="E346" s="337"/>
      <x:c r="F346" s="338"/>
      <x:c r="H346" s="327">
        <x:f>IF(L346=0,"",H345+1)</x:f>
      </x:c>
      <x:c r="I346" s="328">
        <x:f>IF(L346&gt;0,NbEch+Différé+1-H346,"")</x:f>
      </x:c>
      <x:c r="J346" s="339">
        <x:f>IF(ISNUMBER(K346),YEAR(K346),"")</x:f>
      </x:c>
      <x:c r="K346" s="340">
        <x:f>IF(L346=0,"",IF(Ijour=0,MIN(DATE(YEAR(DebAmort),MONTH(DebAmort)+MoisD+(H346-1)*Imois,Jour2),DATE(YEAR(DebAmort),MONTH(DebAmort)+MoisD+1+(H346-1)*Imois,0)),DATE(YEAR(DebAmort),MONTH(DebAmort),Jour1+(H346-1)*Ijour)))</x:f>
      </x:c>
      <x:c r="L346" s="341">
        <x:f>L345-N345</x:f>
      </x:c>
      <x:c r="M346" s="331">
        <x:f>IF(H346&lt;=NoEchMaxi,ROUND(L346*R346,NbDeci),0)</x:f>
      </x:c>
      <x:c r="N346" s="330">
        <x:f>IF(OR(H346&lt;=Différé,H346&gt;NoEchMaxi),IF(DiffTotal,-M346,0),IF(H346&gt;=NoEchRemb,L346,IF(S346-(M346*EchFIXE)&gt;L346-2,L346,S346-(M346*EchFIXE))))+C346</x:f>
      </x:c>
      <x:c r="O346" s="332">
        <x:f>IF(OR(L346=0,H346&gt;NoEchMaxi),0,ROUND(FraisF+FraisV*L346,NbDeci))+F346</x:f>
      </x:c>
      <x:c r="P346" s="342">
        <x:f>SUM(M346:O346)</x:f>
      </x:c>
      <x:c r="Q346" s="0"/>
      <x:c r="R346" s="71">
        <x:f>IF(B346&gt;0,IF(TauxActuariel,((B346+1)^(1/NbEchAn))-1,B346/NbEchAn),R345)</x:f>
      </x:c>
      <x:c r="S346" s="70">
        <x:f>IF(E346&gt;0,E346,IF(D346&gt;0,IF(AND(EchFIXE,R346&gt;0),ROUND((L346-C346)*R346/(1-((1+R346)^-D346)),NbDeci),ROUND(L346/D346,NbDeci)),S345))</x:f>
      </x:c>
    </x:row>
    <x:row r="347" spans="1:31" x14ac:dyDescent="0.2">
      <x:c r="B347" s="334"/>
      <x:c r="C347" s="335"/>
      <x:c r="D347" s="336"/>
      <x:c r="E347" s="337"/>
      <x:c r="F347" s="338"/>
      <x:c r="H347" s="327">
        <x:f>IF(L347=0,"",H346+1)</x:f>
      </x:c>
      <x:c r="I347" s="328">
        <x:f>IF(L347&gt;0,NbEch+Différé+1-H347,"")</x:f>
      </x:c>
      <x:c r="J347" s="339">
        <x:f>IF(ISNUMBER(K347),YEAR(K347),"")</x:f>
      </x:c>
      <x:c r="K347" s="340">
        <x:f>IF(L347=0,"",IF(Ijour=0,MIN(DATE(YEAR(DebAmort),MONTH(DebAmort)+(H347-1)*Imois,Jour1),DATE(YEAR(DebAmort),MONTH(DebAmort)+1+(H347-1)*Imois,0)),DATE(YEAR(DebAmort),MONTH(DebAmort),Jour1+(H347-1)*Ijour)))</x:f>
      </x:c>
      <x:c r="L347" s="341">
        <x:f>L346-N346</x:f>
      </x:c>
      <x:c r="M347" s="331">
        <x:f>IF(H347&lt;=NoEchMaxi,ROUND(L347*R347,NbDeci),0)</x:f>
      </x:c>
      <x:c r="N347" s="330">
        <x:f>IF(OR(H347&lt;=Différé,H347&gt;NoEchMaxi),IF(DiffTotal,-M347,0),IF(H347&gt;=NoEchRemb,L347,IF(S347-(M347*EchFIXE)&gt;L347-2,L347,S347-(M347*EchFIXE))))+C347</x:f>
      </x:c>
      <x:c r="O347" s="332">
        <x:f>IF(OR(L347=0,H347&gt;NoEchMaxi),0,ROUND(FraisF+FraisV*L347,NbDeci))+F347</x:f>
      </x:c>
      <x:c r="P347" s="342">
        <x:f>SUM(M347:O347)</x:f>
      </x:c>
      <x:c r="Q347" s="0"/>
      <x:c r="R347" s="71">
        <x:f>IF(B347&gt;0,IF(TauxActuariel,((B347+1)^(1/NbEchAn))-1,B347/NbEchAn),R346)</x:f>
      </x:c>
      <x:c r="S347" s="70">
        <x:f>IF(E347&gt;0,E347,IF(D347&gt;0,IF(AND(EchFIXE,R347&gt;0),ROUND((L347-C347)*R347/(1-((1+R347)^-D347)),NbDeci),ROUND(L347/D347,NbDeci)),S346))</x:f>
      </x:c>
    </x:row>
    <x:row r="348" spans="1:31" x14ac:dyDescent="0.2">
      <x:c r="B348" s="334"/>
      <x:c r="C348" s="335"/>
      <x:c r="D348" s="336"/>
      <x:c r="E348" s="337"/>
      <x:c r="F348" s="338"/>
      <x:c r="H348" s="327">
        <x:f>IF(L348=0,"",H347+1)</x:f>
      </x:c>
      <x:c r="I348" s="328">
        <x:f>IF(L348&gt;0,NbEch+Différé+1-H348,"")</x:f>
      </x:c>
      <x:c r="J348" s="339">
        <x:f>IF(ISNUMBER(K348),YEAR(K348),"")</x:f>
      </x:c>
      <x:c r="K348" s="340">
        <x:f>IF(L348=0,"",IF(Ijour=0,MIN(DATE(YEAR(DebAmort),MONTH(DebAmort)+MoisD+(H348-1)*Imois,Jour2),DATE(YEAR(DebAmort),MONTH(DebAmort)+MoisD+1+(H348-1)*Imois,0)),DATE(YEAR(DebAmort),MONTH(DebAmort),Jour1+(H348-1)*Ijour)))</x:f>
      </x:c>
      <x:c r="L348" s="341">
        <x:f>L347-N347</x:f>
      </x:c>
      <x:c r="M348" s="331">
        <x:f>IF(H348&lt;=NoEchMaxi,ROUND(L348*R348,NbDeci),0)</x:f>
      </x:c>
      <x:c r="N348" s="330">
        <x:f>IF(OR(H348&lt;=Différé,H348&gt;NoEchMaxi),IF(DiffTotal,-M348,0),IF(H348&gt;=NoEchRemb,L348,IF(S348-(M348*EchFIXE)&gt;L348-2,L348,S348-(M348*EchFIXE))))+C348</x:f>
      </x:c>
      <x:c r="O348" s="332">
        <x:f>IF(OR(L348=0,H348&gt;NoEchMaxi),0,ROUND(FraisF+FraisV*L348,NbDeci))+F348</x:f>
      </x:c>
      <x:c r="P348" s="342">
        <x:f>SUM(M348:O348)</x:f>
      </x:c>
      <x:c r="Q348" s="0"/>
      <x:c r="R348" s="71">
        <x:f>IF(B348&gt;0,IF(TauxActuariel,((B348+1)^(1/NbEchAn))-1,B348/NbEchAn),R347)</x:f>
      </x:c>
      <x:c r="S348" s="70">
        <x:f>IF(E348&gt;0,E348,IF(D348&gt;0,IF(AND(EchFIXE,R348&gt;0),ROUND((L348-C348)*R348/(1-((1+R348)^-D348)),NbDeci),ROUND(L348/D348,NbDeci)),S347))</x:f>
      </x:c>
    </x:row>
    <x:row r="349" spans="1:31" x14ac:dyDescent="0.2">
      <x:c r="B349" s="334"/>
      <x:c r="C349" s="335"/>
      <x:c r="D349" s="336"/>
      <x:c r="E349" s="337"/>
      <x:c r="F349" s="338"/>
      <x:c r="H349" s="327">
        <x:f>IF(L349=0,"",H348+1)</x:f>
      </x:c>
      <x:c r="I349" s="328">
        <x:f>IF(L349&gt;0,NbEch+Différé+1-H349,"")</x:f>
      </x:c>
      <x:c r="J349" s="339">
        <x:f>IF(ISNUMBER(K349),YEAR(K349),"")</x:f>
      </x:c>
      <x:c r="K349" s="340">
        <x:f>IF(L349=0,"",IF(Ijour=0,MIN(DATE(YEAR(DebAmort),MONTH(DebAmort)+(H349-1)*Imois,Jour1),DATE(YEAR(DebAmort),MONTH(DebAmort)+1+(H349-1)*Imois,0)),DATE(YEAR(DebAmort),MONTH(DebAmort),Jour1+(H349-1)*Ijour)))</x:f>
      </x:c>
      <x:c r="L349" s="341">
        <x:f>L348-N348</x:f>
      </x:c>
      <x:c r="M349" s="331">
        <x:f>IF(H349&lt;=NoEchMaxi,ROUND(L349*R349,NbDeci),0)</x:f>
      </x:c>
      <x:c r="N349" s="330">
        <x:f>IF(OR(H349&lt;=Différé,H349&gt;NoEchMaxi),IF(DiffTotal,-M349,0),IF(H349&gt;=NoEchRemb,L349,IF(S349-(M349*EchFIXE)&gt;L349-2,L349,S349-(M349*EchFIXE))))+C349</x:f>
      </x:c>
      <x:c r="O349" s="332">
        <x:f>IF(OR(L349=0,H349&gt;NoEchMaxi),0,ROUND(FraisF+FraisV*L349,NbDeci))+F349</x:f>
      </x:c>
      <x:c r="P349" s="342">
        <x:f>SUM(M349:O349)</x:f>
      </x:c>
      <x:c r="Q349" s="0"/>
      <x:c r="R349" s="71">
        <x:f>IF(B349&gt;0,IF(TauxActuariel,((B349+1)^(1/NbEchAn))-1,B349/NbEchAn),R348)</x:f>
      </x:c>
      <x:c r="S349" s="70">
        <x:f>IF(E349&gt;0,E349,IF(D349&gt;0,IF(AND(EchFIXE,R349&gt;0),ROUND((L349-C349)*R349/(1-((1+R349)^-D349)),NbDeci),ROUND(L349/D349,NbDeci)),S348))</x:f>
      </x:c>
    </x:row>
    <x:row r="350" spans="1:31" x14ac:dyDescent="0.2">
      <x:c r="B350" s="334"/>
      <x:c r="C350" s="335"/>
      <x:c r="D350" s="336"/>
      <x:c r="E350" s="337"/>
      <x:c r="F350" s="338"/>
      <x:c r="H350" s="327">
        <x:f>IF(L350=0,"",H349+1)</x:f>
      </x:c>
      <x:c r="I350" s="328">
        <x:f>IF(L350&gt;0,NbEch+Différé+1-H350,"")</x:f>
      </x:c>
      <x:c r="J350" s="339">
        <x:f>IF(ISNUMBER(K350),YEAR(K350),"")</x:f>
      </x:c>
      <x:c r="K350" s="340">
        <x:f>IF(L350=0,"",IF(Ijour=0,MIN(DATE(YEAR(DebAmort),MONTH(DebAmort)+MoisD+(H350-1)*Imois,Jour2),DATE(YEAR(DebAmort),MONTH(DebAmort)+MoisD+1+(H350-1)*Imois,0)),DATE(YEAR(DebAmort),MONTH(DebAmort),Jour1+(H350-1)*Ijour)))</x:f>
      </x:c>
      <x:c r="L350" s="341">
        <x:f>L349-N349</x:f>
      </x:c>
      <x:c r="M350" s="331">
        <x:f>IF(H350&lt;=NoEchMaxi,ROUND(L350*R350,NbDeci),0)</x:f>
      </x:c>
      <x:c r="N350" s="330">
        <x:f>IF(OR(H350&lt;=Différé,H350&gt;NoEchMaxi),IF(DiffTotal,-M350,0),IF(H350&gt;=NoEchRemb,L350,IF(S350-(M350*EchFIXE)&gt;L350-2,L350,S350-(M350*EchFIXE))))+C350</x:f>
      </x:c>
      <x:c r="O350" s="332">
        <x:f>IF(OR(L350=0,H350&gt;NoEchMaxi),0,ROUND(FraisF+FraisV*L350,NbDeci))+F350</x:f>
      </x:c>
      <x:c r="P350" s="342">
        <x:f>SUM(M350:O350)</x:f>
      </x:c>
      <x:c r="Q350" s="0"/>
      <x:c r="R350" s="71">
        <x:f>IF(B350&gt;0,IF(TauxActuariel,((B350+1)^(1/NbEchAn))-1,B350/NbEchAn),R349)</x:f>
      </x:c>
      <x:c r="S350" s="70">
        <x:f>IF(E350&gt;0,E350,IF(D350&gt;0,IF(AND(EchFIXE,R350&gt;0),ROUND((L350-C350)*R350/(1-((1+R350)^-D350)),NbDeci),ROUND(L350/D350,NbDeci)),S349))</x:f>
      </x:c>
    </x:row>
    <x:row r="351" spans="1:31" x14ac:dyDescent="0.2">
      <x:c r="B351" s="334"/>
      <x:c r="C351" s="335"/>
      <x:c r="D351" s="336"/>
      <x:c r="E351" s="337"/>
      <x:c r="F351" s="338"/>
      <x:c r="H351" s="327">
        <x:f>IF(L351=0,"",H350+1)</x:f>
      </x:c>
      <x:c r="I351" s="328">
        <x:f>IF(L351&gt;0,NbEch+Différé+1-H351,"")</x:f>
      </x:c>
      <x:c r="J351" s="339">
        <x:f>IF(ISNUMBER(K351),YEAR(K351),"")</x:f>
      </x:c>
      <x:c r="K351" s="340">
        <x:f>IF(L351=0,"",IF(Ijour=0,MIN(DATE(YEAR(DebAmort),MONTH(DebAmort)+(H351-1)*Imois,Jour1),DATE(YEAR(DebAmort),MONTH(DebAmort)+1+(H351-1)*Imois,0)),DATE(YEAR(DebAmort),MONTH(DebAmort),Jour1+(H351-1)*Ijour)))</x:f>
      </x:c>
      <x:c r="L351" s="341">
        <x:f>L350-N350</x:f>
      </x:c>
      <x:c r="M351" s="331">
        <x:f>IF(H351&lt;=NoEchMaxi,ROUND(L351*R351,NbDeci),0)</x:f>
      </x:c>
      <x:c r="N351" s="330">
        <x:f>IF(OR(H351&lt;=Différé,H351&gt;NoEchMaxi),IF(DiffTotal,-M351,0),IF(H351&gt;=NoEchRemb,L351,IF(S351-(M351*EchFIXE)&gt;L351-2,L351,S351-(M351*EchFIXE))))+C351</x:f>
      </x:c>
      <x:c r="O351" s="332">
        <x:f>IF(OR(L351=0,H351&gt;NoEchMaxi),0,ROUND(FraisF+FraisV*L351,NbDeci))+F351</x:f>
      </x:c>
      <x:c r="P351" s="342">
        <x:f>SUM(M351:O351)</x:f>
      </x:c>
      <x:c r="Q351" s="0"/>
      <x:c r="R351" s="71">
        <x:f>IF(B351&gt;0,IF(TauxActuariel,((B351+1)^(1/NbEchAn))-1,B351/NbEchAn),R350)</x:f>
      </x:c>
      <x:c r="S351" s="70">
        <x:f>IF(E351&gt;0,E351,IF(D351&gt;0,IF(AND(EchFIXE,R351&gt;0),ROUND((L351-C351)*R351/(1-((1+R351)^-D351)),NbDeci),ROUND(L351/D351,NbDeci)),S350))</x:f>
      </x:c>
    </x:row>
    <x:row r="352" spans="1:31" x14ac:dyDescent="0.2">
      <x:c r="B352" s="334"/>
      <x:c r="C352" s="335"/>
      <x:c r="D352" s="336"/>
      <x:c r="E352" s="337"/>
      <x:c r="F352" s="338"/>
      <x:c r="H352" s="327">
        <x:f>IF(L352=0,"",H351+1)</x:f>
      </x:c>
      <x:c r="I352" s="328">
        <x:f>IF(L352&gt;0,NbEch+Différé+1-H352,"")</x:f>
      </x:c>
      <x:c r="J352" s="339">
        <x:f>IF(ISNUMBER(K352),YEAR(K352),"")</x:f>
      </x:c>
      <x:c r="K352" s="340">
        <x:f>IF(L352=0,"",IF(Ijour=0,MIN(DATE(YEAR(DebAmort),MONTH(DebAmort)+MoisD+(H352-1)*Imois,Jour2),DATE(YEAR(DebAmort),MONTH(DebAmort)+MoisD+1+(H352-1)*Imois,0)),DATE(YEAR(DebAmort),MONTH(DebAmort),Jour1+(H352-1)*Ijour)))</x:f>
      </x:c>
      <x:c r="L352" s="341">
        <x:f>L351-N351</x:f>
      </x:c>
      <x:c r="M352" s="331">
        <x:f>IF(H352&lt;=NoEchMaxi,ROUND(L352*R352,NbDeci),0)</x:f>
      </x:c>
      <x:c r="N352" s="330">
        <x:f>IF(OR(H352&lt;=Différé,H352&gt;NoEchMaxi),IF(DiffTotal,-M352,0),IF(H352&gt;=NoEchRemb,L352,IF(S352-(M352*EchFIXE)&gt;L352-2,L352,S352-(M352*EchFIXE))))+C352</x:f>
      </x:c>
      <x:c r="O352" s="332">
        <x:f>IF(OR(L352=0,H352&gt;NoEchMaxi),0,ROUND(FraisF+FraisV*L352,NbDeci))+F352</x:f>
      </x:c>
      <x:c r="P352" s="342">
        <x:f>SUM(M352:O352)</x:f>
      </x:c>
      <x:c r="Q352" s="0"/>
      <x:c r="R352" s="71">
        <x:f>IF(B352&gt;0,IF(TauxActuariel,((B352+1)^(1/NbEchAn))-1,B352/NbEchAn),R351)</x:f>
      </x:c>
      <x:c r="S352" s="70">
        <x:f>IF(E352&gt;0,E352,IF(D352&gt;0,IF(AND(EchFIXE,R352&gt;0),ROUND((L352-C352)*R352/(1-((1+R352)^-D352)),NbDeci),ROUND(L352/D352,NbDeci)),S351))</x:f>
      </x:c>
    </x:row>
    <x:row r="353" spans="1:31" x14ac:dyDescent="0.2">
      <x:c r="B353" s="334"/>
      <x:c r="C353" s="335"/>
      <x:c r="D353" s="336"/>
      <x:c r="E353" s="337"/>
      <x:c r="F353" s="338"/>
      <x:c r="H353" s="327">
        <x:f>IF(L353=0,"",H352+1)</x:f>
      </x:c>
      <x:c r="I353" s="328">
        <x:f>IF(L353&gt;0,NbEch+Différé+1-H353,"")</x:f>
      </x:c>
      <x:c r="J353" s="339">
        <x:f>IF(ISNUMBER(K353),YEAR(K353),"")</x:f>
      </x:c>
      <x:c r="K353" s="340">
        <x:f>IF(L353=0,"",IF(Ijour=0,MIN(DATE(YEAR(DebAmort),MONTH(DebAmort)+(H353-1)*Imois,Jour1),DATE(YEAR(DebAmort),MONTH(DebAmort)+1+(H353-1)*Imois,0)),DATE(YEAR(DebAmort),MONTH(DebAmort),Jour1+(H353-1)*Ijour)))</x:f>
      </x:c>
      <x:c r="L353" s="341">
        <x:f>L352-N352</x:f>
      </x:c>
      <x:c r="M353" s="331">
        <x:f>IF(H353&lt;=NoEchMaxi,ROUND(L353*R353,NbDeci),0)</x:f>
      </x:c>
      <x:c r="N353" s="330">
        <x:f>IF(OR(H353&lt;=Différé,H353&gt;NoEchMaxi),IF(DiffTotal,-M353,0),IF(H353&gt;=NoEchRemb,L353,IF(S353-(M353*EchFIXE)&gt;L353-2,L353,S353-(M353*EchFIXE))))+C353</x:f>
      </x:c>
      <x:c r="O353" s="332">
        <x:f>IF(OR(L353=0,H353&gt;NoEchMaxi),0,ROUND(FraisF+FraisV*L353,NbDeci))+F353</x:f>
      </x:c>
      <x:c r="P353" s="342">
        <x:f>SUM(M353:O353)</x:f>
      </x:c>
      <x:c r="Q353" s="0"/>
      <x:c r="R353" s="71">
        <x:f>IF(B353&gt;0,IF(TauxActuariel,((B353+1)^(1/NbEchAn))-1,B353/NbEchAn),R352)</x:f>
      </x:c>
      <x:c r="S353" s="70">
        <x:f>IF(E353&gt;0,E353,IF(D353&gt;0,IF(AND(EchFIXE,R353&gt;0),ROUND((L353-C353)*R353/(1-((1+R353)^-D353)),NbDeci),ROUND(L353/D353,NbDeci)),S352))</x:f>
      </x:c>
    </x:row>
    <x:row r="354" spans="1:31" x14ac:dyDescent="0.2">
      <x:c r="B354" s="334"/>
      <x:c r="C354" s="335"/>
      <x:c r="D354" s="336"/>
      <x:c r="E354" s="337"/>
      <x:c r="F354" s="338"/>
      <x:c r="H354" s="327">
        <x:f>IF(L354=0,"",H353+1)</x:f>
      </x:c>
      <x:c r="I354" s="328">
        <x:f>IF(L354&gt;0,NbEch+Différé+1-H354,"")</x:f>
      </x:c>
      <x:c r="J354" s="339">
        <x:f>IF(ISNUMBER(K354),YEAR(K354),"")</x:f>
      </x:c>
      <x:c r="K354" s="340">
        <x:f>IF(L354=0,"",IF(Ijour=0,MIN(DATE(YEAR(DebAmort),MONTH(DebAmort)+MoisD+(H354-1)*Imois,Jour2),DATE(YEAR(DebAmort),MONTH(DebAmort)+MoisD+1+(H354-1)*Imois,0)),DATE(YEAR(DebAmort),MONTH(DebAmort),Jour1+(H354-1)*Ijour)))</x:f>
      </x:c>
      <x:c r="L354" s="341">
        <x:f>L353-N353</x:f>
      </x:c>
      <x:c r="M354" s="331">
        <x:f>IF(H354&lt;=NoEchMaxi,ROUND(L354*R354,NbDeci),0)</x:f>
      </x:c>
      <x:c r="N354" s="330">
        <x:f>IF(OR(H354&lt;=Différé,H354&gt;NoEchMaxi),IF(DiffTotal,-M354,0),IF(H354&gt;=NoEchRemb,L354,IF(S354-(M354*EchFIXE)&gt;L354-2,L354,S354-(M354*EchFIXE))))+C354</x:f>
      </x:c>
      <x:c r="O354" s="332">
        <x:f>IF(OR(L354=0,H354&gt;NoEchMaxi),0,ROUND(FraisF+FraisV*L354,NbDeci))+F354</x:f>
      </x:c>
      <x:c r="P354" s="342">
        <x:f>SUM(M354:O354)</x:f>
      </x:c>
      <x:c r="Q354" s="0"/>
      <x:c r="R354" s="71">
        <x:f>IF(B354&gt;0,IF(TauxActuariel,((B354+1)^(1/NbEchAn))-1,B354/NbEchAn),R353)</x:f>
      </x:c>
      <x:c r="S354" s="70">
        <x:f>IF(E354&gt;0,E354,IF(D354&gt;0,IF(AND(EchFIXE,R354&gt;0),ROUND((L354-C354)*R354/(1-((1+R354)^-D354)),NbDeci),ROUND(L354/D354,NbDeci)),S353))</x:f>
      </x:c>
    </x:row>
    <x:row r="355" spans="1:31" x14ac:dyDescent="0.2">
      <x:c r="B355" s="334"/>
      <x:c r="C355" s="335"/>
      <x:c r="D355" s="336"/>
      <x:c r="E355" s="337"/>
      <x:c r="F355" s="338"/>
      <x:c r="H355" s="327">
        <x:f>IF(L355=0,"",H354+1)</x:f>
      </x:c>
      <x:c r="I355" s="328">
        <x:f>IF(L355&gt;0,NbEch+Différé+1-H355,"")</x:f>
      </x:c>
      <x:c r="J355" s="339">
        <x:f>IF(ISNUMBER(K355),YEAR(K355),"")</x:f>
      </x:c>
      <x:c r="K355" s="340">
        <x:f>IF(L355=0,"",IF(Ijour=0,MIN(DATE(YEAR(DebAmort),MONTH(DebAmort)+(H355-1)*Imois,Jour1),DATE(YEAR(DebAmort),MONTH(DebAmort)+1+(H355-1)*Imois,0)),DATE(YEAR(DebAmort),MONTH(DebAmort),Jour1+(H355-1)*Ijour)))</x:f>
      </x:c>
      <x:c r="L355" s="341">
        <x:f>L354-N354</x:f>
      </x:c>
      <x:c r="M355" s="331">
        <x:f>IF(H355&lt;=NoEchMaxi,ROUND(L355*R355,NbDeci),0)</x:f>
      </x:c>
      <x:c r="N355" s="330">
        <x:f>IF(OR(H355&lt;=Différé,H355&gt;NoEchMaxi),IF(DiffTotal,-M355,0),IF(H355&gt;=NoEchRemb,L355,IF(S355-(M355*EchFIXE)&gt;L355-2,L355,S355-(M355*EchFIXE))))+C355</x:f>
      </x:c>
      <x:c r="O355" s="332">
        <x:f>IF(OR(L355=0,H355&gt;NoEchMaxi),0,ROUND(FraisF+FraisV*L355,NbDeci))+F355</x:f>
      </x:c>
      <x:c r="P355" s="342">
        <x:f>SUM(M355:O355)</x:f>
      </x:c>
      <x:c r="Q355" s="0"/>
      <x:c r="R355" s="71">
        <x:f>IF(B355&gt;0,IF(TauxActuariel,((B355+1)^(1/NbEchAn))-1,B355/NbEchAn),R354)</x:f>
      </x:c>
      <x:c r="S355" s="70">
        <x:f>IF(E355&gt;0,E355,IF(D355&gt;0,IF(AND(EchFIXE,R355&gt;0),ROUND((L355-C355)*R355/(1-((1+R355)^-D355)),NbDeci),ROUND(L355/D355,NbDeci)),S354))</x:f>
      </x:c>
    </x:row>
    <x:row r="356" spans="1:31" x14ac:dyDescent="0.2">
      <x:c r="B356" s="334"/>
      <x:c r="C356" s="335"/>
      <x:c r="D356" s="336"/>
      <x:c r="E356" s="337"/>
      <x:c r="F356" s="338"/>
      <x:c r="H356" s="327">
        <x:f>IF(L356=0,"",H355+1)</x:f>
      </x:c>
      <x:c r="I356" s="328">
        <x:f>IF(L356&gt;0,NbEch+Différé+1-H356,"")</x:f>
      </x:c>
      <x:c r="J356" s="339">
        <x:f>IF(ISNUMBER(K356),YEAR(K356),"")</x:f>
      </x:c>
      <x:c r="K356" s="340">
        <x:f>IF(L356=0,"",IF(Ijour=0,MIN(DATE(YEAR(DebAmort),MONTH(DebAmort)+MoisD+(H356-1)*Imois,Jour2),DATE(YEAR(DebAmort),MONTH(DebAmort)+MoisD+1+(H356-1)*Imois,0)),DATE(YEAR(DebAmort),MONTH(DebAmort),Jour1+(H356-1)*Ijour)))</x:f>
      </x:c>
      <x:c r="L356" s="341">
        <x:f>L355-N355</x:f>
      </x:c>
      <x:c r="M356" s="331">
        <x:f>IF(H356&lt;=NoEchMaxi,ROUND(L356*R356,NbDeci),0)</x:f>
      </x:c>
      <x:c r="N356" s="330">
        <x:f>IF(OR(H356&lt;=Différé,H356&gt;NoEchMaxi),IF(DiffTotal,-M356,0),IF(H356&gt;=NoEchRemb,L356,IF(S356-(M356*EchFIXE)&gt;L356-2,L356,S356-(M356*EchFIXE))))+C356</x:f>
      </x:c>
      <x:c r="O356" s="332">
        <x:f>IF(OR(L356=0,H356&gt;NoEchMaxi),0,ROUND(FraisF+FraisV*L356,NbDeci))+F356</x:f>
      </x:c>
      <x:c r="P356" s="342">
        <x:f>SUM(M356:O356)</x:f>
      </x:c>
      <x:c r="Q356" s="0"/>
      <x:c r="R356" s="71">
        <x:f>IF(B356&gt;0,IF(TauxActuariel,((B356+1)^(1/NbEchAn))-1,B356/NbEchAn),R355)</x:f>
      </x:c>
      <x:c r="S356" s="70">
        <x:f>IF(E356&gt;0,E356,IF(D356&gt;0,IF(AND(EchFIXE,R356&gt;0),ROUND((L356-C356)*R356/(1-((1+R356)^-D356)),NbDeci),ROUND(L356/D356,NbDeci)),S355))</x:f>
      </x:c>
    </x:row>
    <x:row r="357" spans="1:31" x14ac:dyDescent="0.2">
      <x:c r="B357" s="334"/>
      <x:c r="C357" s="335"/>
      <x:c r="D357" s="336"/>
      <x:c r="E357" s="337"/>
      <x:c r="F357" s="338"/>
      <x:c r="H357" s="327">
        <x:f>IF(L357=0,"",H356+1)</x:f>
      </x:c>
      <x:c r="I357" s="328">
        <x:f>IF(L357&gt;0,NbEch+Différé+1-H357,"")</x:f>
      </x:c>
      <x:c r="J357" s="339">
        <x:f>IF(ISNUMBER(K357),YEAR(K357),"")</x:f>
      </x:c>
      <x:c r="K357" s="340">
        <x:f>IF(L357=0,"",IF(Ijour=0,MIN(DATE(YEAR(DebAmort),MONTH(DebAmort)+(H357-1)*Imois,Jour1),DATE(YEAR(DebAmort),MONTH(DebAmort)+1+(H357-1)*Imois,0)),DATE(YEAR(DebAmort),MONTH(DebAmort),Jour1+(H357-1)*Ijour)))</x:f>
      </x:c>
      <x:c r="L357" s="341">
        <x:f>L356-N356</x:f>
      </x:c>
      <x:c r="M357" s="331">
        <x:f>IF(H357&lt;=NoEchMaxi,ROUND(L357*R357,NbDeci),0)</x:f>
      </x:c>
      <x:c r="N357" s="330">
        <x:f>IF(OR(H357&lt;=Différé,H357&gt;NoEchMaxi),IF(DiffTotal,-M357,0),IF(H357&gt;=NoEchRemb,L357,IF(S357-(M357*EchFIXE)&gt;L357-2,L357,S357-(M357*EchFIXE))))+C357</x:f>
      </x:c>
      <x:c r="O357" s="332">
        <x:f>IF(OR(L357=0,H357&gt;NoEchMaxi),0,ROUND(FraisF+FraisV*L357,NbDeci))+F357</x:f>
      </x:c>
      <x:c r="P357" s="342">
        <x:f>SUM(M357:O357)</x:f>
      </x:c>
      <x:c r="Q357" s="0"/>
      <x:c r="R357" s="71">
        <x:f>IF(B357&gt;0,IF(TauxActuariel,((B357+1)^(1/NbEchAn))-1,B357/NbEchAn),R356)</x:f>
      </x:c>
      <x:c r="S357" s="70">
        <x:f>IF(E357&gt;0,E357,IF(D357&gt;0,IF(AND(EchFIXE,R357&gt;0),ROUND((L357-C357)*R357/(1-((1+R357)^-D357)),NbDeci),ROUND(L357/D357,NbDeci)),S356))</x:f>
      </x:c>
    </x:row>
    <x:row r="358" spans="1:31" x14ac:dyDescent="0.2">
      <x:c r="B358" s="334"/>
      <x:c r="C358" s="335"/>
      <x:c r="D358" s="336"/>
      <x:c r="E358" s="337"/>
      <x:c r="F358" s="338"/>
      <x:c r="H358" s="327">
        <x:f>IF(L358=0,"",H357+1)</x:f>
      </x:c>
      <x:c r="I358" s="328">
        <x:f>IF(L358&gt;0,NbEch+Différé+1-H358,"")</x:f>
      </x:c>
      <x:c r="J358" s="339">
        <x:f>IF(ISNUMBER(K358),YEAR(K358),"")</x:f>
      </x:c>
      <x:c r="K358" s="340">
        <x:f>IF(L358=0,"",IF(Ijour=0,MIN(DATE(YEAR(DebAmort),MONTH(DebAmort)+MoisD+(H358-1)*Imois,Jour2),DATE(YEAR(DebAmort),MONTH(DebAmort)+MoisD+1+(H358-1)*Imois,0)),DATE(YEAR(DebAmort),MONTH(DebAmort),Jour1+(H358-1)*Ijour)))</x:f>
      </x:c>
      <x:c r="L358" s="341">
        <x:f>L357-N357</x:f>
      </x:c>
      <x:c r="M358" s="331">
        <x:f>IF(H358&lt;=NoEchMaxi,ROUND(L358*R358,NbDeci),0)</x:f>
      </x:c>
      <x:c r="N358" s="330">
        <x:f>IF(OR(H358&lt;=Différé,H358&gt;NoEchMaxi),IF(DiffTotal,-M358,0),IF(H358&gt;=NoEchRemb,L358,IF(S358-(M358*EchFIXE)&gt;L358-2,L358,S358-(M358*EchFIXE))))+C358</x:f>
      </x:c>
      <x:c r="O358" s="332">
        <x:f>IF(OR(L358=0,H358&gt;NoEchMaxi),0,ROUND(FraisF+FraisV*L358,NbDeci))+F358</x:f>
      </x:c>
      <x:c r="P358" s="342">
        <x:f>SUM(M358:O358)</x:f>
      </x:c>
      <x:c r="Q358" s="0"/>
      <x:c r="R358" s="71">
        <x:f>IF(B358&gt;0,IF(TauxActuariel,((B358+1)^(1/NbEchAn))-1,B358/NbEchAn),R357)</x:f>
      </x:c>
      <x:c r="S358" s="70">
        <x:f>IF(E358&gt;0,E358,IF(D358&gt;0,IF(AND(EchFIXE,R358&gt;0),ROUND((L358-C358)*R358/(1-((1+R358)^-D358)),NbDeci),ROUND(L358/D358,NbDeci)),S357))</x:f>
      </x:c>
    </x:row>
    <x:row r="359" spans="1:31" x14ac:dyDescent="0.2">
      <x:c r="B359" s="334"/>
      <x:c r="C359" s="335"/>
      <x:c r="D359" s="336"/>
      <x:c r="E359" s="337"/>
      <x:c r="F359" s="338"/>
      <x:c r="H359" s="327">
        <x:f>IF(L359=0,"",H358+1)</x:f>
      </x:c>
      <x:c r="I359" s="328">
        <x:f>IF(L359&gt;0,NbEch+Différé+1-H359,"")</x:f>
      </x:c>
      <x:c r="J359" s="339">
        <x:f>IF(ISNUMBER(K359),YEAR(K359),"")</x:f>
      </x:c>
      <x:c r="K359" s="340">
        <x:f>IF(L359=0,"",IF(Ijour=0,MIN(DATE(YEAR(DebAmort),MONTH(DebAmort)+(H359-1)*Imois,Jour1),DATE(YEAR(DebAmort),MONTH(DebAmort)+1+(H359-1)*Imois,0)),DATE(YEAR(DebAmort),MONTH(DebAmort),Jour1+(H359-1)*Ijour)))</x:f>
      </x:c>
      <x:c r="L359" s="341">
        <x:f>L358-N358</x:f>
      </x:c>
      <x:c r="M359" s="331">
        <x:f>IF(H359&lt;=NoEchMaxi,ROUND(L359*R359,NbDeci),0)</x:f>
      </x:c>
      <x:c r="N359" s="330">
        <x:f>IF(OR(H359&lt;=Différé,H359&gt;NoEchMaxi),IF(DiffTotal,-M359,0),IF(H359&gt;=NoEchRemb,L359,IF(S359-(M359*EchFIXE)&gt;L359-2,L359,S359-(M359*EchFIXE))))+C359</x:f>
      </x:c>
      <x:c r="O359" s="332">
        <x:f>IF(OR(L359=0,H359&gt;NoEchMaxi),0,ROUND(FraisF+FraisV*L359,NbDeci))+F359</x:f>
      </x:c>
      <x:c r="P359" s="342">
        <x:f>SUM(M359:O359)</x:f>
      </x:c>
      <x:c r="Q359" s="0"/>
      <x:c r="R359" s="71">
        <x:f>IF(B359&gt;0,IF(TauxActuariel,((B359+1)^(1/NbEchAn))-1,B359/NbEchAn),R358)</x:f>
      </x:c>
      <x:c r="S359" s="70">
        <x:f>IF(E359&gt;0,E359,IF(D359&gt;0,IF(AND(EchFIXE,R359&gt;0),ROUND((L359-C359)*R359/(1-((1+R359)^-D359)),NbDeci),ROUND(L359/D359,NbDeci)),S358))</x:f>
      </x:c>
    </x:row>
    <x:row r="360" spans="1:31" x14ac:dyDescent="0.2">
      <x:c r="B360" s="334"/>
      <x:c r="C360" s="335"/>
      <x:c r="D360" s="336"/>
      <x:c r="E360" s="337"/>
      <x:c r="F360" s="338"/>
      <x:c r="H360" s="327">
        <x:f>IF(L360=0,"",H359+1)</x:f>
      </x:c>
      <x:c r="I360" s="328">
        <x:f>IF(L360&gt;0,NbEch+Différé+1-H360,"")</x:f>
      </x:c>
      <x:c r="J360" s="339">
        <x:f>IF(ISNUMBER(K360),YEAR(K360),"")</x:f>
      </x:c>
      <x:c r="K360" s="340">
        <x:f>IF(L360=0,"",IF(Ijour=0,MIN(DATE(YEAR(DebAmort),MONTH(DebAmort)+MoisD+(H360-1)*Imois,Jour2),DATE(YEAR(DebAmort),MONTH(DebAmort)+MoisD+1+(H360-1)*Imois,0)),DATE(YEAR(DebAmort),MONTH(DebAmort),Jour1+(H360-1)*Ijour)))</x:f>
      </x:c>
      <x:c r="L360" s="341">
        <x:f>L359-N359</x:f>
      </x:c>
      <x:c r="M360" s="331">
        <x:f>IF(H360&lt;=NoEchMaxi,ROUND(L360*R360,NbDeci),0)</x:f>
      </x:c>
      <x:c r="N360" s="330">
        <x:f>IF(OR(H360&lt;=Différé,H360&gt;NoEchMaxi),IF(DiffTotal,-M360,0),IF(H360&gt;=NoEchRemb,L360,IF(S360-(M360*EchFIXE)&gt;L360-2,L360,S360-(M360*EchFIXE))))+C360</x:f>
      </x:c>
      <x:c r="O360" s="332">
        <x:f>IF(OR(L360=0,H360&gt;NoEchMaxi),0,ROUND(FraisF+FraisV*L360,NbDeci))+F360</x:f>
      </x:c>
      <x:c r="P360" s="342">
        <x:f>SUM(M360:O360)</x:f>
      </x:c>
      <x:c r="Q360" s="0"/>
      <x:c r="R360" s="71">
        <x:f>IF(B360&gt;0,IF(TauxActuariel,((B360+1)^(1/NbEchAn))-1,B360/NbEchAn),R359)</x:f>
      </x:c>
      <x:c r="S360" s="70">
        <x:f>IF(E360&gt;0,E360,IF(D360&gt;0,IF(AND(EchFIXE,R360&gt;0),ROUND((L360-C360)*R360/(1-((1+R360)^-D360)),NbDeci),ROUND(L360/D360,NbDeci)),S359))</x:f>
      </x:c>
    </x:row>
    <x:row r="361" spans="1:31" x14ac:dyDescent="0.2">
      <x:c r="B361" s="334"/>
      <x:c r="C361" s="335"/>
      <x:c r="D361" s="336"/>
      <x:c r="E361" s="337"/>
      <x:c r="F361" s="338"/>
      <x:c r="H361" s="327">
        <x:f>IF(L361=0,"",H360+1)</x:f>
      </x:c>
      <x:c r="I361" s="328">
        <x:f>IF(L361&gt;0,NbEch+Différé+1-H361,"")</x:f>
      </x:c>
      <x:c r="J361" s="339">
        <x:f>IF(ISNUMBER(K361),YEAR(K361),"")</x:f>
      </x:c>
      <x:c r="K361" s="340">
        <x:f>IF(L361=0,"",IF(Ijour=0,MIN(DATE(YEAR(DebAmort),MONTH(DebAmort)+(H361-1)*Imois,Jour1),DATE(YEAR(DebAmort),MONTH(DebAmort)+1+(H361-1)*Imois,0)),DATE(YEAR(DebAmort),MONTH(DebAmort),Jour1+(H361-1)*Ijour)))</x:f>
      </x:c>
      <x:c r="L361" s="341">
        <x:f>L360-N360</x:f>
      </x:c>
      <x:c r="M361" s="331">
        <x:f>IF(H361&lt;=NoEchMaxi,ROUND(L361*R361,NbDeci),0)</x:f>
      </x:c>
      <x:c r="N361" s="330">
        <x:f>IF(OR(H361&lt;=Différé,H361&gt;NoEchMaxi),IF(DiffTotal,-M361,0),IF(H361&gt;=NoEchRemb,L361,IF(S361-(M361*EchFIXE)&gt;L361-2,L361,S361-(M361*EchFIXE))))+C361</x:f>
      </x:c>
      <x:c r="O361" s="332">
        <x:f>IF(OR(L361=0,H361&gt;NoEchMaxi),0,ROUND(FraisF+FraisV*L361,NbDeci))+F361</x:f>
      </x:c>
      <x:c r="P361" s="342">
        <x:f>SUM(M361:O361)</x:f>
      </x:c>
      <x:c r="Q361" s="0"/>
      <x:c r="R361" s="71">
        <x:f>IF(B361&gt;0,IF(TauxActuariel,((B361+1)^(1/NbEchAn))-1,B361/NbEchAn),R360)</x:f>
      </x:c>
      <x:c r="S361" s="70">
        <x:f>IF(E361&gt;0,E361,IF(D361&gt;0,IF(AND(EchFIXE,R361&gt;0),ROUND((L361-C361)*R361/(1-((1+R361)^-D361)),NbDeci),ROUND(L361/D361,NbDeci)),S360))</x:f>
      </x:c>
    </x:row>
    <x:row r="362" spans="1:31" x14ac:dyDescent="0.2">
      <x:c r="B362" s="334"/>
      <x:c r="C362" s="335"/>
      <x:c r="D362" s="336"/>
      <x:c r="E362" s="337"/>
      <x:c r="F362" s="338"/>
      <x:c r="H362" s="327">
        <x:f>IF(L362=0,"",H361+1)</x:f>
      </x:c>
      <x:c r="I362" s="328">
        <x:f>IF(L362&gt;0,NbEch+Différé+1-H362,"")</x:f>
      </x:c>
      <x:c r="J362" s="339">
        <x:f>IF(ISNUMBER(K362),YEAR(K362),"")</x:f>
      </x:c>
      <x:c r="K362" s="340">
        <x:f>IF(L362=0,"",IF(Ijour=0,MIN(DATE(YEAR(DebAmort),MONTH(DebAmort)+MoisD+(H362-1)*Imois,Jour2),DATE(YEAR(DebAmort),MONTH(DebAmort)+MoisD+1+(H362-1)*Imois,0)),DATE(YEAR(DebAmort),MONTH(DebAmort),Jour1+(H362-1)*Ijour)))</x:f>
      </x:c>
      <x:c r="L362" s="341">
        <x:f>L361-N361</x:f>
      </x:c>
      <x:c r="M362" s="331">
        <x:f>IF(H362&lt;=NoEchMaxi,ROUND(L362*R362,NbDeci),0)</x:f>
      </x:c>
      <x:c r="N362" s="330">
        <x:f>IF(OR(H362&lt;=Différé,H362&gt;NoEchMaxi),IF(DiffTotal,-M362,0),IF(H362&gt;=NoEchRemb,L362,IF(S362-(M362*EchFIXE)&gt;L362-2,L362,S362-(M362*EchFIXE))))+C362</x:f>
      </x:c>
      <x:c r="O362" s="332">
        <x:f>IF(OR(L362=0,H362&gt;NoEchMaxi),0,ROUND(FraisF+FraisV*L362,NbDeci))+F362</x:f>
      </x:c>
      <x:c r="P362" s="342">
        <x:f>SUM(M362:O362)</x:f>
      </x:c>
      <x:c r="Q362" s="0"/>
      <x:c r="R362" s="71">
        <x:f>IF(B362&gt;0,IF(TauxActuariel,((B362+1)^(1/NbEchAn))-1,B362/NbEchAn),R361)</x:f>
      </x:c>
      <x:c r="S362" s="70">
        <x:f>IF(E362&gt;0,E362,IF(D362&gt;0,IF(AND(EchFIXE,R362&gt;0),ROUND((L362-C362)*R362/(1-((1+R362)^-D362)),NbDeci),ROUND(L362/D362,NbDeci)),S361))</x:f>
      </x:c>
    </x:row>
    <x:row r="363" spans="1:31" x14ac:dyDescent="0.2">
      <x:c r="B363" s="334"/>
      <x:c r="C363" s="335"/>
      <x:c r="D363" s="336"/>
      <x:c r="E363" s="337"/>
      <x:c r="F363" s="338"/>
      <x:c r="H363" s="327">
        <x:f>IF(L363=0,"",H362+1)</x:f>
      </x:c>
      <x:c r="I363" s="328">
        <x:f>IF(L363&gt;0,NbEch+Différé+1-H363,"")</x:f>
      </x:c>
      <x:c r="J363" s="339">
        <x:f>IF(ISNUMBER(K363),YEAR(K363),"")</x:f>
      </x:c>
      <x:c r="K363" s="340">
        <x:f>IF(L363=0,"",IF(Ijour=0,MIN(DATE(YEAR(DebAmort),MONTH(DebAmort)+(H363-1)*Imois,Jour1),DATE(YEAR(DebAmort),MONTH(DebAmort)+1+(H363-1)*Imois,0)),DATE(YEAR(DebAmort),MONTH(DebAmort),Jour1+(H363-1)*Ijour)))</x:f>
      </x:c>
      <x:c r="L363" s="341">
        <x:f>L362-N362</x:f>
      </x:c>
      <x:c r="M363" s="331">
        <x:f>IF(H363&lt;=NoEchMaxi,ROUND(L363*R363,NbDeci),0)</x:f>
      </x:c>
      <x:c r="N363" s="330">
        <x:f>IF(OR(H363&lt;=Différé,H363&gt;NoEchMaxi),IF(DiffTotal,-M363,0),IF(H363&gt;=NoEchRemb,L363,IF(S363-(M363*EchFIXE)&gt;L363-2,L363,S363-(M363*EchFIXE))))+C363</x:f>
      </x:c>
      <x:c r="O363" s="332">
        <x:f>IF(OR(L363=0,H363&gt;NoEchMaxi),0,ROUND(FraisF+FraisV*L363,NbDeci))+F363</x:f>
      </x:c>
      <x:c r="P363" s="342">
        <x:f>SUM(M363:O363)</x:f>
      </x:c>
      <x:c r="Q363" s="0"/>
      <x:c r="R363" s="71">
        <x:f>IF(B363&gt;0,IF(TauxActuariel,((B363+1)^(1/NbEchAn))-1,B363/NbEchAn),R362)</x:f>
      </x:c>
      <x:c r="S363" s="70">
        <x:f>IF(E363&gt;0,E363,IF(D363&gt;0,IF(AND(EchFIXE,R363&gt;0),ROUND((L363-C363)*R363/(1-((1+R363)^-D363)),NbDeci),ROUND(L363/D363,NbDeci)),S362))</x:f>
      </x:c>
    </x:row>
    <x:row r="364" spans="1:31" x14ac:dyDescent="0.2">
      <x:c r="B364" s="334"/>
      <x:c r="C364" s="335"/>
      <x:c r="D364" s="336"/>
      <x:c r="E364" s="337"/>
      <x:c r="F364" s="338"/>
      <x:c r="H364" s="327">
        <x:f>IF(L364=0,"",H363+1)</x:f>
      </x:c>
      <x:c r="I364" s="328">
        <x:f>IF(L364&gt;0,NbEch+Différé+1-H364,"")</x:f>
      </x:c>
      <x:c r="J364" s="339">
        <x:f>IF(ISNUMBER(K364),YEAR(K364),"")</x:f>
      </x:c>
      <x:c r="K364" s="340">
        <x:f>IF(L364=0,"",IF(Ijour=0,MIN(DATE(YEAR(DebAmort),MONTH(DebAmort)+MoisD+(H364-1)*Imois,Jour2),DATE(YEAR(DebAmort),MONTH(DebAmort)+MoisD+1+(H364-1)*Imois,0)),DATE(YEAR(DebAmort),MONTH(DebAmort),Jour1+(H364-1)*Ijour)))</x:f>
      </x:c>
      <x:c r="L364" s="341">
        <x:f>L363-N363</x:f>
      </x:c>
      <x:c r="M364" s="331">
        <x:f>IF(H364&lt;=NoEchMaxi,ROUND(L364*R364,NbDeci),0)</x:f>
      </x:c>
      <x:c r="N364" s="330">
        <x:f>IF(OR(H364&lt;=Différé,H364&gt;NoEchMaxi),IF(DiffTotal,-M364,0),IF(H364&gt;=NoEchRemb,L364,IF(S364-(M364*EchFIXE)&gt;L364-2,L364,S364-(M364*EchFIXE))))+C364</x:f>
      </x:c>
      <x:c r="O364" s="332">
        <x:f>IF(OR(L364=0,H364&gt;NoEchMaxi),0,ROUND(FraisF+FraisV*L364,NbDeci))+F364</x:f>
      </x:c>
      <x:c r="P364" s="342">
        <x:f>SUM(M364:O364)</x:f>
      </x:c>
      <x:c r="Q364" s="0"/>
      <x:c r="R364" s="71">
        <x:f>IF(B364&gt;0,IF(TauxActuariel,((B364+1)^(1/NbEchAn))-1,B364/NbEchAn),R363)</x:f>
      </x:c>
      <x:c r="S364" s="70">
        <x:f>IF(E364&gt;0,E364,IF(D364&gt;0,IF(AND(EchFIXE,R364&gt;0),ROUND((L364-C364)*R364/(1-((1+R364)^-D364)),NbDeci),ROUND(L364/D364,NbDeci)),S363))</x:f>
      </x:c>
    </x:row>
    <x:row r="365" spans="1:31" x14ac:dyDescent="0.2">
      <x:c r="B365" s="334"/>
      <x:c r="C365" s="335"/>
      <x:c r="D365" s="336"/>
      <x:c r="E365" s="337"/>
      <x:c r="F365" s="338"/>
      <x:c r="H365" s="327">
        <x:f>IF(L365=0,"",H364+1)</x:f>
      </x:c>
      <x:c r="I365" s="328">
        <x:f>IF(L365&gt;0,NbEch+Différé+1-H365,"")</x:f>
      </x:c>
      <x:c r="J365" s="339">
        <x:f>IF(ISNUMBER(K365),YEAR(K365),"")</x:f>
      </x:c>
      <x:c r="K365" s="340">
        <x:f>IF(L365=0,"",IF(Ijour=0,MIN(DATE(YEAR(DebAmort),MONTH(DebAmort)+(H365-1)*Imois,Jour1),DATE(YEAR(DebAmort),MONTH(DebAmort)+1+(H365-1)*Imois,0)),DATE(YEAR(DebAmort),MONTH(DebAmort),Jour1+(H365-1)*Ijour)))</x:f>
      </x:c>
      <x:c r="L365" s="341">
        <x:f>L364-N364</x:f>
      </x:c>
      <x:c r="M365" s="331">
        <x:f>IF(H365&lt;=NoEchMaxi,ROUND(L365*R365,NbDeci),0)</x:f>
      </x:c>
      <x:c r="N365" s="330">
        <x:f>IF(OR(H365&lt;=Différé,H365&gt;NoEchMaxi),IF(DiffTotal,-M365,0),IF(H365&gt;=NoEchRemb,L365,IF(S365-(M365*EchFIXE)&gt;L365-2,L365,S365-(M365*EchFIXE))))+C365</x:f>
      </x:c>
      <x:c r="O365" s="332">
        <x:f>IF(OR(L365=0,H365&gt;NoEchMaxi),0,ROUND(FraisF+FraisV*L365,NbDeci))+F365</x:f>
      </x:c>
      <x:c r="P365" s="342">
        <x:f>SUM(M365:O365)</x:f>
      </x:c>
      <x:c r="Q365" s="0"/>
      <x:c r="R365" s="71">
        <x:f>IF(B365&gt;0,IF(TauxActuariel,((B365+1)^(1/NbEchAn))-1,B365/NbEchAn),R364)</x:f>
      </x:c>
      <x:c r="S365" s="70">
        <x:f>IF(E365&gt;0,E365,IF(D365&gt;0,IF(AND(EchFIXE,R365&gt;0),ROUND((L365-C365)*R365/(1-((1+R365)^-D365)),NbDeci),ROUND(L365/D365,NbDeci)),S364))</x:f>
      </x:c>
    </x:row>
    <x:row r="366" spans="1:31" x14ac:dyDescent="0.2">
      <x:c r="B366" s="334"/>
      <x:c r="C366" s="335"/>
      <x:c r="D366" s="336"/>
      <x:c r="E366" s="337"/>
      <x:c r="F366" s="338"/>
      <x:c r="H366" s="327">
        <x:f>IF(L366=0,"",H365+1)</x:f>
      </x:c>
      <x:c r="I366" s="328">
        <x:f>IF(L366&gt;0,NbEch+Différé+1-H366,"")</x:f>
      </x:c>
      <x:c r="J366" s="339">
        <x:f>IF(ISNUMBER(K366),YEAR(K366),"")</x:f>
      </x:c>
      <x:c r="K366" s="340">
        <x:f>IF(L366=0,"",IF(Ijour=0,MIN(DATE(YEAR(DebAmort),MONTH(DebAmort)+MoisD+(H366-1)*Imois,Jour2),DATE(YEAR(DebAmort),MONTH(DebAmort)+MoisD+1+(H366-1)*Imois,0)),DATE(YEAR(DebAmort),MONTH(DebAmort),Jour1+(H366-1)*Ijour)))</x:f>
      </x:c>
      <x:c r="L366" s="341">
        <x:f>L365-N365</x:f>
      </x:c>
      <x:c r="M366" s="331">
        <x:f>IF(H366&lt;=NoEchMaxi,ROUND(L366*R366,NbDeci),0)</x:f>
      </x:c>
      <x:c r="N366" s="330">
        <x:f>IF(OR(H366&lt;=Différé,H366&gt;NoEchMaxi),IF(DiffTotal,-M366,0),IF(H366&gt;=NoEchRemb,L366,IF(S366-(M366*EchFIXE)&gt;L366-2,L366,S366-(M366*EchFIXE))))+C366</x:f>
      </x:c>
      <x:c r="O366" s="332">
        <x:f>IF(OR(L366=0,H366&gt;NoEchMaxi),0,ROUND(FraisF+FraisV*L366,NbDeci))+F366</x:f>
      </x:c>
      <x:c r="P366" s="342">
        <x:f>SUM(M366:O366)</x:f>
      </x:c>
      <x:c r="Q366" s="0"/>
      <x:c r="R366" s="71">
        <x:f>IF(B366&gt;0,IF(TauxActuariel,((B366+1)^(1/NbEchAn))-1,B366/NbEchAn),R365)</x:f>
      </x:c>
      <x:c r="S366" s="70">
        <x:f>IF(E366&gt;0,E366,IF(D366&gt;0,IF(AND(EchFIXE,R366&gt;0),ROUND((L366-C366)*R366/(1-((1+R366)^-D366)),NbDeci),ROUND(L366/D366,NbDeci)),S365))</x:f>
      </x:c>
    </x:row>
    <x:row r="367" spans="1:31" x14ac:dyDescent="0.2">
      <x:c r="B367" s="334"/>
      <x:c r="C367" s="335"/>
      <x:c r="D367" s="336"/>
      <x:c r="E367" s="337"/>
      <x:c r="F367" s="338"/>
      <x:c r="H367" s="327">
        <x:f>IF(L367=0,"",H366+1)</x:f>
      </x:c>
      <x:c r="I367" s="328">
        <x:f>IF(L367&gt;0,NbEch+Différé+1-H367,"")</x:f>
      </x:c>
      <x:c r="J367" s="339">
        <x:f>IF(ISNUMBER(K367),YEAR(K367),"")</x:f>
      </x:c>
      <x:c r="K367" s="340">
        <x:f>IF(L367=0,"",IF(Ijour=0,MIN(DATE(YEAR(DebAmort),MONTH(DebAmort)+(H367-1)*Imois,Jour1),DATE(YEAR(DebAmort),MONTH(DebAmort)+1+(H367-1)*Imois,0)),DATE(YEAR(DebAmort),MONTH(DebAmort),Jour1+(H367-1)*Ijour)))</x:f>
      </x:c>
      <x:c r="L367" s="341">
        <x:f>L366-N366</x:f>
      </x:c>
      <x:c r="M367" s="331">
        <x:f>IF(H367&lt;=NoEchMaxi,ROUND(L367*R367,NbDeci),0)</x:f>
      </x:c>
      <x:c r="N367" s="330">
        <x:f>IF(OR(H367&lt;=Différé,H367&gt;NoEchMaxi),IF(DiffTotal,-M367,0),IF(H367&gt;=NoEchRemb,L367,IF(S367-(M367*EchFIXE)&gt;L367-2,L367,S367-(M367*EchFIXE))))+C367</x:f>
      </x:c>
      <x:c r="O367" s="332">
        <x:f>IF(OR(L367=0,H367&gt;NoEchMaxi),0,ROUND(FraisF+FraisV*L367,NbDeci))+F367</x:f>
      </x:c>
      <x:c r="P367" s="342">
        <x:f>SUM(M367:O367)</x:f>
      </x:c>
      <x:c r="Q367" s="0"/>
      <x:c r="R367" s="71">
        <x:f>IF(B367&gt;0,IF(TauxActuariel,((B367+1)^(1/NbEchAn))-1,B367/NbEchAn),R366)</x:f>
      </x:c>
      <x:c r="S367" s="70">
        <x:f>IF(E367&gt;0,E367,IF(D367&gt;0,IF(AND(EchFIXE,R367&gt;0),ROUND((L367-C367)*R367/(1-((1+R367)^-D367)),NbDeci),ROUND(L367/D367,NbDeci)),S366))</x:f>
      </x:c>
    </x:row>
    <x:row r="368" spans="1:31" x14ac:dyDescent="0.2">
      <x:c r="B368" s="334"/>
      <x:c r="C368" s="335"/>
      <x:c r="D368" s="336"/>
      <x:c r="E368" s="337"/>
      <x:c r="F368" s="338"/>
      <x:c r="H368" s="327">
        <x:f>IF(L368=0,"",H367+1)</x:f>
      </x:c>
      <x:c r="I368" s="328">
        <x:f>IF(L368&gt;0,NbEch+Différé+1-H368,"")</x:f>
      </x:c>
      <x:c r="J368" s="339">
        <x:f>IF(ISNUMBER(K368),YEAR(K368),"")</x:f>
      </x:c>
      <x:c r="K368" s="340">
        <x:f>IF(L368=0,"",IF(Ijour=0,MIN(DATE(YEAR(DebAmort),MONTH(DebAmort)+MoisD+(H368-1)*Imois,Jour2),DATE(YEAR(DebAmort),MONTH(DebAmort)+MoisD+1+(H368-1)*Imois,0)),DATE(YEAR(DebAmort),MONTH(DebAmort),Jour1+(H368-1)*Ijour)))</x:f>
      </x:c>
      <x:c r="L368" s="341">
        <x:f>L367-N367</x:f>
      </x:c>
      <x:c r="M368" s="331">
        <x:f>IF(H368&lt;=NoEchMaxi,ROUND(L368*R368,NbDeci),0)</x:f>
      </x:c>
      <x:c r="N368" s="330">
        <x:f>IF(OR(H368&lt;=Différé,H368&gt;NoEchMaxi),IF(DiffTotal,-M368,0),IF(H368&gt;=NoEchRemb,L368,IF(S368-(M368*EchFIXE)&gt;L368-2,L368,S368-(M368*EchFIXE))))+C368</x:f>
      </x:c>
      <x:c r="O368" s="332">
        <x:f>IF(OR(L368=0,H368&gt;NoEchMaxi),0,ROUND(FraisF+FraisV*L368,NbDeci))+F368</x:f>
      </x:c>
      <x:c r="P368" s="342">
        <x:f>SUM(M368:O368)</x:f>
      </x:c>
      <x:c r="Q368" s="0"/>
      <x:c r="R368" s="71">
        <x:f>IF(B368&gt;0,IF(TauxActuariel,((B368+1)^(1/NbEchAn))-1,B368/NbEchAn),R367)</x:f>
      </x:c>
      <x:c r="S368" s="70">
        <x:f>IF(E368&gt;0,E368,IF(D368&gt;0,IF(AND(EchFIXE,R368&gt;0),ROUND((L368-C368)*R368/(1-((1+R368)^-D368)),NbDeci),ROUND(L368/D368,NbDeci)),S367))</x:f>
      </x:c>
    </x:row>
    <x:row r="369" spans="1:31" x14ac:dyDescent="0.2">
      <x:c r="B369" s="334"/>
      <x:c r="C369" s="335"/>
      <x:c r="D369" s="336"/>
      <x:c r="E369" s="337"/>
      <x:c r="F369" s="338"/>
      <x:c r="H369" s="327">
        <x:f>IF(L369=0,"",H368+1)</x:f>
      </x:c>
      <x:c r="I369" s="328">
        <x:f>IF(L369&gt;0,NbEch+Différé+1-H369,"")</x:f>
      </x:c>
      <x:c r="J369" s="339">
        <x:f>IF(ISNUMBER(K369),YEAR(K369),"")</x:f>
      </x:c>
      <x:c r="K369" s="340">
        <x:f>IF(L369=0,"",IF(Ijour=0,MIN(DATE(YEAR(DebAmort),MONTH(DebAmort)+(H369-1)*Imois,Jour1),DATE(YEAR(DebAmort),MONTH(DebAmort)+1+(H369-1)*Imois,0)),DATE(YEAR(DebAmort),MONTH(DebAmort),Jour1+(H369-1)*Ijour)))</x:f>
      </x:c>
      <x:c r="L369" s="341">
        <x:f>L368-N368</x:f>
      </x:c>
      <x:c r="M369" s="331">
        <x:f>IF(H369&lt;=NoEchMaxi,ROUND(L369*R369,NbDeci),0)</x:f>
      </x:c>
      <x:c r="N369" s="330">
        <x:f>IF(OR(H369&lt;=Différé,H369&gt;NoEchMaxi),IF(DiffTotal,-M369,0),IF(H369&gt;=NoEchRemb,L369,IF(S369-(M369*EchFIXE)&gt;L369-2,L369,S369-(M369*EchFIXE))))+C369</x:f>
      </x:c>
      <x:c r="O369" s="332">
        <x:f>IF(OR(L369=0,H369&gt;NoEchMaxi),0,ROUND(FraisF+FraisV*L369,NbDeci))+F369</x:f>
      </x:c>
      <x:c r="P369" s="342">
        <x:f>SUM(M369:O369)</x:f>
      </x:c>
      <x:c r="Q369" s="0"/>
      <x:c r="R369" s="71">
        <x:f>IF(B369&gt;0,IF(TauxActuariel,((B369+1)^(1/NbEchAn))-1,B369/NbEchAn),R368)</x:f>
      </x:c>
      <x:c r="S369" s="70">
        <x:f>IF(E369&gt;0,E369,IF(D369&gt;0,IF(AND(EchFIXE,R369&gt;0),ROUND((L369-C369)*R369/(1-((1+R369)^-D369)),NbDeci),ROUND(L369/D369,NbDeci)),S368))</x:f>
      </x:c>
    </x:row>
    <x:row r="370" spans="1:31" x14ac:dyDescent="0.2">
      <x:c r="B370" s="334"/>
      <x:c r="C370" s="335"/>
      <x:c r="D370" s="336"/>
      <x:c r="E370" s="337"/>
      <x:c r="F370" s="338"/>
      <x:c r="H370" s="327">
        <x:f>IF(L370=0,"",H369+1)</x:f>
      </x:c>
      <x:c r="I370" s="328">
        <x:f>IF(L370&gt;0,NbEch+Différé+1-H370,"")</x:f>
      </x:c>
      <x:c r="J370" s="339">
        <x:f>IF(ISNUMBER(K370),YEAR(K370),"")</x:f>
      </x:c>
      <x:c r="K370" s="340">
        <x:f>IF(L370=0,"",IF(Ijour=0,MIN(DATE(YEAR(DebAmort),MONTH(DebAmort)+MoisD+(H370-1)*Imois,Jour2),DATE(YEAR(DebAmort),MONTH(DebAmort)+MoisD+1+(H370-1)*Imois,0)),DATE(YEAR(DebAmort),MONTH(DebAmort),Jour1+(H370-1)*Ijour)))</x:f>
      </x:c>
      <x:c r="L370" s="341">
        <x:f>L369-N369</x:f>
      </x:c>
      <x:c r="M370" s="331">
        <x:f>IF(H370&lt;=NoEchMaxi,ROUND(L370*R370,NbDeci),0)</x:f>
      </x:c>
      <x:c r="N370" s="330">
        <x:f>IF(OR(H370&lt;=Différé,H370&gt;NoEchMaxi),IF(DiffTotal,-M370,0),IF(H370&gt;=NoEchRemb,L370,IF(S370-(M370*EchFIXE)&gt;L370-2,L370,S370-(M370*EchFIXE))))+C370</x:f>
      </x:c>
      <x:c r="O370" s="332">
        <x:f>IF(OR(L370=0,H370&gt;NoEchMaxi),0,ROUND(FraisF+FraisV*L370,NbDeci))+F370</x:f>
      </x:c>
      <x:c r="P370" s="342">
        <x:f>SUM(M370:O370)</x:f>
      </x:c>
      <x:c r="Q370" s="0"/>
      <x:c r="R370" s="71">
        <x:f>IF(B370&gt;0,IF(TauxActuariel,((B370+1)^(1/NbEchAn))-1,B370/NbEchAn),R369)</x:f>
      </x:c>
      <x:c r="S370" s="70">
        <x:f>IF(E370&gt;0,E370,IF(D370&gt;0,IF(AND(EchFIXE,R370&gt;0),ROUND((L370-C370)*R370/(1-((1+R370)^-D370)),NbDeci),ROUND(L370/D370,NbDeci)),S369))</x:f>
      </x:c>
    </x:row>
    <x:row r="371" spans="1:31" x14ac:dyDescent="0.2">
      <x:c r="B371" s="334"/>
      <x:c r="C371" s="335"/>
      <x:c r="D371" s="336"/>
      <x:c r="E371" s="337"/>
      <x:c r="F371" s="338"/>
      <x:c r="H371" s="327">
        <x:f>IF(L371=0,"",H370+1)</x:f>
      </x:c>
      <x:c r="I371" s="328">
        <x:f>IF(L371&gt;0,NbEch+Différé+1-H371,"")</x:f>
      </x:c>
      <x:c r="J371" s="339">
        <x:f>IF(ISNUMBER(K371),YEAR(K371),"")</x:f>
      </x:c>
      <x:c r="K371" s="340">
        <x:f>IF(L371=0,"",IF(Ijour=0,MIN(DATE(YEAR(DebAmort),MONTH(DebAmort)+(H371-1)*Imois,Jour1),DATE(YEAR(DebAmort),MONTH(DebAmort)+1+(H371-1)*Imois,0)),DATE(YEAR(DebAmort),MONTH(DebAmort),Jour1+(H371-1)*Ijour)))</x:f>
      </x:c>
      <x:c r="L371" s="341">
        <x:f>L370-N370</x:f>
      </x:c>
      <x:c r="M371" s="331">
        <x:f>IF(H371&lt;=NoEchMaxi,ROUND(L371*R371,NbDeci),0)</x:f>
      </x:c>
      <x:c r="N371" s="330">
        <x:f>IF(OR(H371&lt;=Différé,H371&gt;NoEchMaxi),IF(DiffTotal,-M371,0),IF(H371&gt;=NoEchRemb,L371,IF(S371-(M371*EchFIXE)&gt;L371-2,L371,S371-(M371*EchFIXE))))+C371</x:f>
      </x:c>
      <x:c r="O371" s="332">
        <x:f>IF(OR(L371=0,H371&gt;NoEchMaxi),0,ROUND(FraisF+FraisV*L371,NbDeci))+F371</x:f>
      </x:c>
      <x:c r="P371" s="342">
        <x:f>SUM(M371:O371)</x:f>
      </x:c>
      <x:c r="Q371" s="0"/>
      <x:c r="R371" s="71">
        <x:f>IF(B371&gt;0,IF(TauxActuariel,((B371+1)^(1/NbEchAn))-1,B371/NbEchAn),R370)</x:f>
      </x:c>
      <x:c r="S371" s="70">
        <x:f>IF(E371&gt;0,E371,IF(D371&gt;0,IF(AND(EchFIXE,R371&gt;0),ROUND((L371-C371)*R371/(1-((1+R371)^-D371)),NbDeci),ROUND(L371/D371,NbDeci)),S370))</x:f>
      </x:c>
    </x:row>
    <x:row r="372" spans="1:31" x14ac:dyDescent="0.2">
      <x:c r="B372" s="334"/>
      <x:c r="C372" s="335"/>
      <x:c r="D372" s="336"/>
      <x:c r="E372" s="337"/>
      <x:c r="F372" s="338"/>
      <x:c r="H372" s="327">
        <x:f>IF(L372=0,"",H371+1)</x:f>
      </x:c>
      <x:c r="I372" s="328">
        <x:f>IF(L372&gt;0,NbEch+Différé+1-H372,"")</x:f>
      </x:c>
      <x:c r="J372" s="339">
        <x:f>IF(ISNUMBER(K372),YEAR(K372),"")</x:f>
      </x:c>
      <x:c r="K372" s="340">
        <x:f>IF(L372=0,"",IF(Ijour=0,MIN(DATE(YEAR(DebAmort),MONTH(DebAmort)+MoisD+(H372-1)*Imois,Jour2),DATE(YEAR(DebAmort),MONTH(DebAmort)+MoisD+1+(H372-1)*Imois,0)),DATE(YEAR(DebAmort),MONTH(DebAmort),Jour1+(H372-1)*Ijour)))</x:f>
      </x:c>
      <x:c r="L372" s="341">
        <x:f>L371-N371</x:f>
      </x:c>
      <x:c r="M372" s="331">
        <x:f>IF(H372&lt;=NoEchMaxi,ROUND(L372*R372,NbDeci),0)</x:f>
      </x:c>
      <x:c r="N372" s="330">
        <x:f>IF(OR(H372&lt;=Différé,H372&gt;NoEchMaxi),IF(DiffTotal,-M372,0),IF(H372&gt;=NoEchRemb,L372,IF(S372-(M372*EchFIXE)&gt;L372-2,L372,S372-(M372*EchFIXE))))+C372</x:f>
      </x:c>
      <x:c r="O372" s="332">
        <x:f>IF(OR(L372=0,H372&gt;NoEchMaxi),0,ROUND(FraisF+FraisV*L372,NbDeci))+F372</x:f>
      </x:c>
      <x:c r="P372" s="342">
        <x:f>SUM(M372:O372)</x:f>
      </x:c>
      <x:c r="Q372" s="0"/>
      <x:c r="R372" s="71">
        <x:f>IF(B372&gt;0,IF(TauxActuariel,((B372+1)^(1/NbEchAn))-1,B372/NbEchAn),R371)</x:f>
      </x:c>
      <x:c r="S372" s="70">
        <x:f>IF(E372&gt;0,E372,IF(D372&gt;0,IF(AND(EchFIXE,R372&gt;0),ROUND((L372-C372)*R372/(1-((1+R372)^-D372)),NbDeci),ROUND(L372/D372,NbDeci)),S371))</x:f>
      </x:c>
    </x:row>
    <x:row r="373" spans="1:31" x14ac:dyDescent="0.2">
      <x:c r="B373" s="334"/>
      <x:c r="C373" s="335"/>
      <x:c r="D373" s="336"/>
      <x:c r="E373" s="337"/>
      <x:c r="F373" s="338"/>
      <x:c r="H373" s="327">
        <x:f>IF(L373=0,"",H372+1)</x:f>
      </x:c>
      <x:c r="I373" s="328">
        <x:f>IF(L373&gt;0,NbEch+Différé+1-H373,"")</x:f>
      </x:c>
      <x:c r="J373" s="339">
        <x:f>IF(ISNUMBER(K373),YEAR(K373),"")</x:f>
      </x:c>
      <x:c r="K373" s="340">
        <x:f>IF(L373=0,"",IF(Ijour=0,MIN(DATE(YEAR(DebAmort),MONTH(DebAmort)+(H373-1)*Imois,Jour1),DATE(YEAR(DebAmort),MONTH(DebAmort)+1+(H373-1)*Imois,0)),DATE(YEAR(DebAmort),MONTH(DebAmort),Jour1+(H373-1)*Ijour)))</x:f>
      </x:c>
      <x:c r="L373" s="341">
        <x:f>L372-N372</x:f>
      </x:c>
      <x:c r="M373" s="331">
        <x:f>IF(H373&lt;=NoEchMaxi,ROUND(L373*R373,NbDeci),0)</x:f>
      </x:c>
      <x:c r="N373" s="330">
        <x:f>IF(OR(H373&lt;=Différé,H373&gt;NoEchMaxi),IF(DiffTotal,-M373,0),IF(H373&gt;=NoEchRemb,L373,IF(S373-(M373*EchFIXE)&gt;L373-2,L373,S373-(M373*EchFIXE))))+C373</x:f>
      </x:c>
      <x:c r="O373" s="332">
        <x:f>IF(OR(L373=0,H373&gt;NoEchMaxi),0,ROUND(FraisF+FraisV*L373,NbDeci))+F373</x:f>
      </x:c>
      <x:c r="P373" s="342">
        <x:f>SUM(M373:O373)</x:f>
      </x:c>
      <x:c r="Q373" s="0"/>
      <x:c r="R373" s="71">
        <x:f>IF(B373&gt;0,IF(TauxActuariel,((B373+1)^(1/NbEchAn))-1,B373/NbEchAn),R372)</x:f>
      </x:c>
      <x:c r="S373" s="70">
        <x:f>IF(E373&gt;0,E373,IF(D373&gt;0,IF(AND(EchFIXE,R373&gt;0),ROUND((L373-C373)*R373/(1-((1+R373)^-D373)),NbDeci),ROUND(L373/D373,NbDeci)),S372))</x:f>
      </x:c>
    </x:row>
    <x:row r="374" spans="1:31" x14ac:dyDescent="0.2">
      <x:c r="B374" s="334"/>
      <x:c r="C374" s="335"/>
      <x:c r="D374" s="336"/>
      <x:c r="E374" s="337"/>
      <x:c r="F374" s="338"/>
      <x:c r="H374" s="327">
        <x:f>IF(L374=0,"",H373+1)</x:f>
      </x:c>
      <x:c r="I374" s="328">
        <x:f>IF(L374&gt;0,NbEch+Différé+1-H374,"")</x:f>
      </x:c>
      <x:c r="J374" s="339">
        <x:f>IF(ISNUMBER(K374),YEAR(K374),"")</x:f>
      </x:c>
      <x:c r="K374" s="340">
        <x:f>IF(L374=0,"",IF(Ijour=0,MIN(DATE(YEAR(DebAmort),MONTH(DebAmort)+MoisD+(H374-1)*Imois,Jour2),DATE(YEAR(DebAmort),MONTH(DebAmort)+MoisD+1+(H374-1)*Imois,0)),DATE(YEAR(DebAmort),MONTH(DebAmort),Jour1+(H374-1)*Ijour)))</x:f>
      </x:c>
      <x:c r="L374" s="341">
        <x:f>L373-N373</x:f>
      </x:c>
      <x:c r="M374" s="331">
        <x:f>IF(H374&lt;=NoEchMaxi,ROUND(L374*R374,NbDeci),0)</x:f>
      </x:c>
      <x:c r="N374" s="330">
        <x:f>IF(OR(H374&lt;=Différé,H374&gt;NoEchMaxi),IF(DiffTotal,-M374,0),IF(H374&gt;=NoEchRemb,L374,IF(S374-(M374*EchFIXE)&gt;L374-2,L374,S374-(M374*EchFIXE))))+C374</x:f>
      </x:c>
      <x:c r="O374" s="332">
        <x:f>IF(OR(L374=0,H374&gt;NoEchMaxi),0,ROUND(FraisF+FraisV*L374,NbDeci))+F374</x:f>
      </x:c>
      <x:c r="P374" s="342">
        <x:f>SUM(M374:O374)</x:f>
      </x:c>
      <x:c r="Q374" s="0"/>
      <x:c r="R374" s="71">
        <x:f>IF(B374&gt;0,IF(TauxActuariel,((B374+1)^(1/NbEchAn))-1,B374/NbEchAn),R373)</x:f>
      </x:c>
      <x:c r="S374" s="70">
        <x:f>IF(E374&gt;0,E374,IF(D374&gt;0,IF(AND(EchFIXE,R374&gt;0),ROUND((L374-C374)*R374/(1-((1+R374)^-D374)),NbDeci),ROUND(L374/D374,NbDeci)),S373))</x:f>
      </x:c>
    </x:row>
    <x:row r="375" spans="1:31" x14ac:dyDescent="0.2">
      <x:c r="B375" s="334"/>
      <x:c r="C375" s="335"/>
      <x:c r="D375" s="336"/>
      <x:c r="E375" s="337"/>
      <x:c r="F375" s="338"/>
      <x:c r="H375" s="327">
        <x:f>IF(L375=0,"",H374+1)</x:f>
      </x:c>
      <x:c r="I375" s="328">
        <x:f>IF(L375&gt;0,NbEch+Différé+1-H375,"")</x:f>
      </x:c>
      <x:c r="J375" s="339">
        <x:f>IF(ISNUMBER(K375),YEAR(K375),"")</x:f>
      </x:c>
      <x:c r="K375" s="340">
        <x:f>IF(L375=0,"",IF(Ijour=0,MIN(DATE(YEAR(DebAmort),MONTH(DebAmort)+(H375-1)*Imois,Jour1),DATE(YEAR(DebAmort),MONTH(DebAmort)+1+(H375-1)*Imois,0)),DATE(YEAR(DebAmort),MONTH(DebAmort),Jour1+(H375-1)*Ijour)))</x:f>
      </x:c>
      <x:c r="L375" s="341">
        <x:f>L374-N374</x:f>
      </x:c>
      <x:c r="M375" s="331">
        <x:f>IF(H375&lt;=NoEchMaxi,ROUND(L375*R375,NbDeci),0)</x:f>
      </x:c>
      <x:c r="N375" s="330">
        <x:f>IF(OR(H375&lt;=Différé,H375&gt;NoEchMaxi),IF(DiffTotal,-M375,0),IF(H375&gt;=NoEchRemb,L375,IF(S375-(M375*EchFIXE)&gt;L375-2,L375,S375-(M375*EchFIXE))))+C375</x:f>
      </x:c>
      <x:c r="O375" s="332">
        <x:f>IF(OR(L375=0,H375&gt;NoEchMaxi),0,ROUND(FraisF+FraisV*L375,NbDeci))+F375</x:f>
      </x:c>
      <x:c r="P375" s="342">
        <x:f>SUM(M375:O375)</x:f>
      </x:c>
      <x:c r="Q375" s="0"/>
      <x:c r="R375" s="71">
        <x:f>IF(B375&gt;0,IF(TauxActuariel,((B375+1)^(1/NbEchAn))-1,B375/NbEchAn),R374)</x:f>
      </x:c>
      <x:c r="S375" s="70">
        <x:f>IF(E375&gt;0,E375,IF(D375&gt;0,IF(AND(EchFIXE,R375&gt;0),ROUND((L375-C375)*R375/(1-((1+R375)^-D375)),NbDeci),ROUND(L375/D375,NbDeci)),S374))</x:f>
      </x:c>
    </x:row>
    <x:row r="376" spans="1:31" x14ac:dyDescent="0.2">
      <x:c r="B376" s="334"/>
      <x:c r="C376" s="335"/>
      <x:c r="D376" s="336"/>
      <x:c r="E376" s="337"/>
      <x:c r="F376" s="338"/>
      <x:c r="H376" s="327">
        <x:f>IF(L376=0,"",H375+1)</x:f>
      </x:c>
      <x:c r="I376" s="328">
        <x:f>IF(L376&gt;0,NbEch+Différé+1-H376,"")</x:f>
      </x:c>
      <x:c r="J376" s="339">
        <x:f>IF(ISNUMBER(K376),YEAR(K376),"")</x:f>
      </x:c>
      <x:c r="K376" s="340">
        <x:f>IF(L376=0,"",IF(Ijour=0,MIN(DATE(YEAR(DebAmort),MONTH(DebAmort)+MoisD+(H376-1)*Imois,Jour2),DATE(YEAR(DebAmort),MONTH(DebAmort)+MoisD+1+(H376-1)*Imois,0)),DATE(YEAR(DebAmort),MONTH(DebAmort),Jour1+(H376-1)*Ijour)))</x:f>
      </x:c>
      <x:c r="L376" s="341">
        <x:f>L375-N375</x:f>
      </x:c>
      <x:c r="M376" s="331">
        <x:f>IF(H376&lt;=NoEchMaxi,ROUND(L376*R376,NbDeci),0)</x:f>
      </x:c>
      <x:c r="N376" s="330">
        <x:f>IF(OR(H376&lt;=Différé,H376&gt;NoEchMaxi),IF(DiffTotal,-M376,0),IF(H376&gt;=NoEchRemb,L376,IF(S376-(M376*EchFIXE)&gt;L376-2,L376,S376-(M376*EchFIXE))))+C376</x:f>
      </x:c>
      <x:c r="O376" s="332">
        <x:f>IF(OR(L376=0,H376&gt;NoEchMaxi),0,ROUND(FraisF+FraisV*L376,NbDeci))+F376</x:f>
      </x:c>
      <x:c r="P376" s="342">
        <x:f>SUM(M376:O376)</x:f>
      </x:c>
      <x:c r="Q376" s="0"/>
      <x:c r="R376" s="71">
        <x:f>IF(B376&gt;0,IF(TauxActuariel,((B376+1)^(1/NbEchAn))-1,B376/NbEchAn),R375)</x:f>
      </x:c>
      <x:c r="S376" s="70">
        <x:f>IF(E376&gt;0,E376,IF(D376&gt;0,IF(AND(EchFIXE,R376&gt;0),ROUND((L376-C376)*R376/(1-((1+R376)^-D376)),NbDeci),ROUND(L376/D376,NbDeci)),S375))</x:f>
      </x:c>
    </x:row>
    <x:row r="377" spans="1:31" x14ac:dyDescent="0.2">
      <x:c r="B377" s="334"/>
      <x:c r="C377" s="335"/>
      <x:c r="D377" s="336"/>
      <x:c r="E377" s="337"/>
      <x:c r="F377" s="338"/>
      <x:c r="H377" s="327">
        <x:f>IF(L377=0,"",H376+1)</x:f>
      </x:c>
      <x:c r="I377" s="328">
        <x:f>IF(L377&gt;0,NbEch+Différé+1-H377,"")</x:f>
      </x:c>
      <x:c r="J377" s="339">
        <x:f>IF(ISNUMBER(K377),YEAR(K377),"")</x:f>
      </x:c>
      <x:c r="K377" s="340">
        <x:f>IF(L377=0,"",IF(Ijour=0,MIN(DATE(YEAR(DebAmort),MONTH(DebAmort)+(H377-1)*Imois,Jour1),DATE(YEAR(DebAmort),MONTH(DebAmort)+1+(H377-1)*Imois,0)),DATE(YEAR(DebAmort),MONTH(DebAmort),Jour1+(H377-1)*Ijour)))</x:f>
      </x:c>
      <x:c r="L377" s="341">
        <x:f>L376-N376</x:f>
      </x:c>
      <x:c r="M377" s="331">
        <x:f>IF(H377&lt;=NoEchMaxi,ROUND(L377*R377,NbDeci),0)</x:f>
      </x:c>
      <x:c r="N377" s="330">
        <x:f>IF(OR(H377&lt;=Différé,H377&gt;NoEchMaxi),IF(DiffTotal,-M377,0),IF(H377&gt;=NoEchRemb,L377,IF(S377-(M377*EchFIXE)&gt;L377-2,L377,S377-(M377*EchFIXE))))+C377</x:f>
      </x:c>
      <x:c r="O377" s="332">
        <x:f>IF(OR(L377=0,H377&gt;NoEchMaxi),0,ROUND(FraisF+FraisV*L377,NbDeci))+F377</x:f>
      </x:c>
      <x:c r="P377" s="342">
        <x:f>SUM(M377:O377)</x:f>
      </x:c>
      <x:c r="Q377" s="0"/>
      <x:c r="R377" s="71">
        <x:f>IF(B377&gt;0,IF(TauxActuariel,((B377+1)^(1/NbEchAn))-1,B377/NbEchAn),R376)</x:f>
      </x:c>
      <x:c r="S377" s="70">
        <x:f>IF(E377&gt;0,E377,IF(D377&gt;0,IF(AND(EchFIXE,R377&gt;0),ROUND((L377-C377)*R377/(1-((1+R377)^-D377)),NbDeci),ROUND(L377/D377,NbDeci)),S376))</x:f>
      </x:c>
    </x:row>
    <x:row r="378" spans="1:31" x14ac:dyDescent="0.2">
      <x:c r="B378" s="334"/>
      <x:c r="C378" s="335"/>
      <x:c r="D378" s="336"/>
      <x:c r="E378" s="337"/>
      <x:c r="F378" s="338"/>
      <x:c r="H378" s="327">
        <x:f>IF(L378=0,"",H377+1)</x:f>
      </x:c>
      <x:c r="I378" s="328">
        <x:f>IF(L378&gt;0,NbEch+Différé+1-H378,"")</x:f>
      </x:c>
      <x:c r="J378" s="339">
        <x:f>IF(ISNUMBER(K378),YEAR(K378),"")</x:f>
      </x:c>
      <x:c r="K378" s="340">
        <x:f>IF(L378=0,"",IF(Ijour=0,MIN(DATE(YEAR(DebAmort),MONTH(DebAmort)+MoisD+(H378-1)*Imois,Jour2),DATE(YEAR(DebAmort),MONTH(DebAmort)+MoisD+1+(H378-1)*Imois,0)),DATE(YEAR(DebAmort),MONTH(DebAmort),Jour1+(H378-1)*Ijour)))</x:f>
      </x:c>
      <x:c r="L378" s="341">
        <x:f>L377-N377</x:f>
      </x:c>
      <x:c r="M378" s="331">
        <x:f>IF(H378&lt;=NoEchMaxi,ROUND(L378*R378,NbDeci),0)</x:f>
      </x:c>
      <x:c r="N378" s="330">
        <x:f>IF(OR(H378&lt;=Différé,H378&gt;NoEchMaxi),IF(DiffTotal,-M378,0),IF(H378&gt;=NoEchRemb,L378,IF(S378-(M378*EchFIXE)&gt;L378-2,L378,S378-(M378*EchFIXE))))+C378</x:f>
      </x:c>
      <x:c r="O378" s="332">
        <x:f>IF(OR(L378=0,H378&gt;NoEchMaxi),0,ROUND(FraisF+FraisV*L378,NbDeci))+F378</x:f>
      </x:c>
      <x:c r="P378" s="342">
        <x:f>SUM(M378:O378)</x:f>
      </x:c>
      <x:c r="Q378" s="0"/>
      <x:c r="R378" s="71">
        <x:f>IF(B378&gt;0,IF(TauxActuariel,((B378+1)^(1/NbEchAn))-1,B378/NbEchAn),R377)</x:f>
      </x:c>
      <x:c r="S378" s="70">
        <x:f>IF(E378&gt;0,E378,IF(D378&gt;0,IF(AND(EchFIXE,R378&gt;0),ROUND((L378-C378)*R378/(1-((1+R378)^-D378)),NbDeci),ROUND(L378/D378,NbDeci)),S377))</x:f>
      </x:c>
    </x:row>
    <x:row r="379" spans="1:31" x14ac:dyDescent="0.2">
      <x:c r="B379" s="334"/>
      <x:c r="C379" s="335"/>
      <x:c r="D379" s="336"/>
      <x:c r="E379" s="337"/>
      <x:c r="F379" s="338"/>
      <x:c r="H379" s="327">
        <x:f>IF(L379=0,"",H378+1)</x:f>
      </x:c>
      <x:c r="I379" s="328">
        <x:f>IF(L379&gt;0,NbEch+Différé+1-H379,"")</x:f>
      </x:c>
      <x:c r="J379" s="339">
        <x:f>IF(ISNUMBER(K379),YEAR(K379),"")</x:f>
      </x:c>
      <x:c r="K379" s="340">
        <x:f>IF(L379=0,"",IF(Ijour=0,MIN(DATE(YEAR(DebAmort),MONTH(DebAmort)+(H379-1)*Imois,Jour1),DATE(YEAR(DebAmort),MONTH(DebAmort)+1+(H379-1)*Imois,0)),DATE(YEAR(DebAmort),MONTH(DebAmort),Jour1+(H379-1)*Ijour)))</x:f>
      </x:c>
      <x:c r="L379" s="341">
        <x:f>L378-N378</x:f>
      </x:c>
      <x:c r="M379" s="331">
        <x:f>IF(H379&lt;=NoEchMaxi,ROUND(L379*R379,NbDeci),0)</x:f>
      </x:c>
      <x:c r="N379" s="330">
        <x:f>IF(OR(H379&lt;=Différé,H379&gt;NoEchMaxi),IF(DiffTotal,-M379,0),IF(H379&gt;=NoEchRemb,L379,IF(S379-(M379*EchFIXE)&gt;L379-2,L379,S379-(M379*EchFIXE))))+C379</x:f>
      </x:c>
      <x:c r="O379" s="332">
        <x:f>IF(OR(L379=0,H379&gt;NoEchMaxi),0,ROUND(FraisF+FraisV*L379,NbDeci))+F379</x:f>
      </x:c>
      <x:c r="P379" s="342">
        <x:f>SUM(M379:O379)</x:f>
      </x:c>
      <x:c r="Q379" s="0"/>
      <x:c r="R379" s="71">
        <x:f>IF(B379&gt;0,IF(TauxActuariel,((B379+1)^(1/NbEchAn))-1,B379/NbEchAn),R378)</x:f>
      </x:c>
      <x:c r="S379" s="70">
        <x:f>IF(E379&gt;0,E379,IF(D379&gt;0,IF(AND(EchFIXE,R379&gt;0),ROUND((L379-C379)*R379/(1-((1+R379)^-D379)),NbDeci),ROUND(L379/D379,NbDeci)),S378))</x:f>
      </x:c>
    </x:row>
    <x:row r="380" spans="1:31" x14ac:dyDescent="0.2">
      <x:c r="B380" s="334"/>
      <x:c r="C380" s="335"/>
      <x:c r="D380" s="336"/>
      <x:c r="E380" s="337"/>
      <x:c r="F380" s="338"/>
      <x:c r="H380" s="327">
        <x:f>IF(L380=0,"",H379+1)</x:f>
      </x:c>
      <x:c r="I380" s="328">
        <x:f>IF(L380&gt;0,NbEch+Différé+1-H380,"")</x:f>
      </x:c>
      <x:c r="J380" s="339">
        <x:f>IF(ISNUMBER(K380),YEAR(K380),"")</x:f>
      </x:c>
      <x:c r="K380" s="340">
        <x:f>IF(L380=0,"",IF(Ijour=0,MIN(DATE(YEAR(DebAmort),MONTH(DebAmort)+MoisD+(H380-1)*Imois,Jour2),DATE(YEAR(DebAmort),MONTH(DebAmort)+MoisD+1+(H380-1)*Imois,0)),DATE(YEAR(DebAmort),MONTH(DebAmort),Jour1+(H380-1)*Ijour)))</x:f>
      </x:c>
      <x:c r="L380" s="341">
        <x:f>L379-N379</x:f>
      </x:c>
      <x:c r="M380" s="331">
        <x:f>IF(H380&lt;=NoEchMaxi,ROUND(L380*R380,NbDeci),0)</x:f>
      </x:c>
      <x:c r="N380" s="330">
        <x:f>IF(OR(H380&lt;=Différé,H380&gt;NoEchMaxi),IF(DiffTotal,-M380,0),IF(H380&gt;=NoEchRemb,L380,IF(S380-(M380*EchFIXE)&gt;L380-2,L380,S380-(M380*EchFIXE))))+C380</x:f>
      </x:c>
      <x:c r="O380" s="332">
        <x:f>IF(OR(L380=0,H380&gt;NoEchMaxi),0,ROUND(FraisF+FraisV*L380,NbDeci))+F380</x:f>
      </x:c>
      <x:c r="P380" s="342">
        <x:f>SUM(M380:O380)</x:f>
      </x:c>
      <x:c r="Q380" s="0"/>
      <x:c r="R380" s="71">
        <x:f>IF(B380&gt;0,IF(TauxActuariel,((B380+1)^(1/NbEchAn))-1,B380/NbEchAn),R379)</x:f>
      </x:c>
      <x:c r="S380" s="70">
        <x:f>IF(E380&gt;0,E380,IF(D380&gt;0,IF(AND(EchFIXE,R380&gt;0),ROUND((L380-C380)*R380/(1-((1+R380)^-D380)),NbDeci),ROUND(L380/D380,NbDeci)),S379))</x:f>
      </x:c>
    </x:row>
    <x:row r="381" spans="1:31" x14ac:dyDescent="0.2">
      <x:c r="B381" s="334"/>
      <x:c r="C381" s="335"/>
      <x:c r="D381" s="336"/>
      <x:c r="E381" s="337"/>
      <x:c r="F381" s="338"/>
      <x:c r="H381" s="327">
        <x:f>IF(L381=0,"",H380+1)</x:f>
      </x:c>
      <x:c r="I381" s="328">
        <x:f>IF(L381&gt;0,NbEch+Différé+1-H381,"")</x:f>
      </x:c>
      <x:c r="J381" s="339">
        <x:f>IF(ISNUMBER(K381),YEAR(K381),"")</x:f>
      </x:c>
      <x:c r="K381" s="340">
        <x:f>IF(L381=0,"",IF(Ijour=0,MIN(DATE(YEAR(DebAmort),MONTH(DebAmort)+(H381-1)*Imois,Jour1),DATE(YEAR(DebAmort),MONTH(DebAmort)+1+(H381-1)*Imois,0)),DATE(YEAR(DebAmort),MONTH(DebAmort),Jour1+(H381-1)*Ijour)))</x:f>
      </x:c>
      <x:c r="L381" s="341">
        <x:f>L380-N380</x:f>
      </x:c>
      <x:c r="M381" s="331">
        <x:f>IF(H381&lt;=NoEchMaxi,ROUND(L381*R381,NbDeci),0)</x:f>
      </x:c>
      <x:c r="N381" s="330">
        <x:f>IF(OR(H381&lt;=Différé,H381&gt;NoEchMaxi),IF(DiffTotal,-M381,0),IF(H381&gt;=NoEchRemb,L381,IF(S381-(M381*EchFIXE)&gt;L381-2,L381,S381-(M381*EchFIXE))))+C381</x:f>
      </x:c>
      <x:c r="O381" s="332">
        <x:f>IF(OR(L381=0,H381&gt;NoEchMaxi),0,ROUND(FraisF+FraisV*L381,NbDeci))+F381</x:f>
      </x:c>
      <x:c r="P381" s="342">
        <x:f>SUM(M381:O381)</x:f>
      </x:c>
      <x:c r="Q381" s="0"/>
      <x:c r="R381" s="71">
        <x:f>IF(B381&gt;0,IF(TauxActuariel,((B381+1)^(1/NbEchAn))-1,B381/NbEchAn),R380)</x:f>
      </x:c>
      <x:c r="S381" s="70">
        <x:f>IF(E381&gt;0,E381,IF(D381&gt;0,IF(AND(EchFIXE,R381&gt;0),ROUND((L381-C381)*R381/(1-((1+R381)^-D381)),NbDeci),ROUND(L381/D381,NbDeci)),S380))</x:f>
      </x:c>
    </x:row>
    <x:row r="382" spans="1:31" x14ac:dyDescent="0.2">
      <x:c r="B382" s="334"/>
      <x:c r="C382" s="335"/>
      <x:c r="D382" s="336"/>
      <x:c r="E382" s="337"/>
      <x:c r="F382" s="338"/>
      <x:c r="H382" s="327">
        <x:f>IF(L382=0,"",H381+1)</x:f>
      </x:c>
      <x:c r="I382" s="328">
        <x:f>IF(L382&gt;0,NbEch+Différé+1-H382,"")</x:f>
      </x:c>
      <x:c r="J382" s="339">
        <x:f>IF(ISNUMBER(K382),YEAR(K382),"")</x:f>
      </x:c>
      <x:c r="K382" s="340">
        <x:f>IF(L382=0,"",IF(Ijour=0,MIN(DATE(YEAR(DebAmort),MONTH(DebAmort)+MoisD+(H382-1)*Imois,Jour2),DATE(YEAR(DebAmort),MONTH(DebAmort)+MoisD+1+(H382-1)*Imois,0)),DATE(YEAR(DebAmort),MONTH(DebAmort),Jour1+(H382-1)*Ijour)))</x:f>
      </x:c>
      <x:c r="L382" s="341">
        <x:f>L381-N381</x:f>
      </x:c>
      <x:c r="M382" s="331">
        <x:f>IF(H382&lt;=NoEchMaxi,ROUND(L382*R382,NbDeci),0)</x:f>
      </x:c>
      <x:c r="N382" s="330">
        <x:f>IF(OR(H382&lt;=Différé,H382&gt;NoEchMaxi),IF(DiffTotal,-M382,0),IF(H382&gt;=NoEchRemb,L382,IF(S382-(M382*EchFIXE)&gt;L382-2,L382,S382-(M382*EchFIXE))))+C382</x:f>
      </x:c>
      <x:c r="O382" s="332">
        <x:f>IF(OR(L382=0,H382&gt;NoEchMaxi),0,ROUND(FraisF+FraisV*L382,NbDeci))+F382</x:f>
      </x:c>
      <x:c r="P382" s="342">
        <x:f>SUM(M382:O382)</x:f>
      </x:c>
      <x:c r="Q382" s="0"/>
      <x:c r="R382" s="71">
        <x:f>IF(B382&gt;0,IF(TauxActuariel,((B382+1)^(1/NbEchAn))-1,B382/NbEchAn),R381)</x:f>
      </x:c>
      <x:c r="S382" s="70">
        <x:f>IF(E382&gt;0,E382,IF(D382&gt;0,IF(AND(EchFIXE,R382&gt;0),ROUND((L382-C382)*R382/(1-((1+R382)^-D382)),NbDeci),ROUND(L382/D382,NbDeci)),S381))</x:f>
      </x:c>
    </x:row>
    <x:row r="383" spans="1:31" x14ac:dyDescent="0.2">
      <x:c r="B383" s="334"/>
      <x:c r="C383" s="335"/>
      <x:c r="D383" s="336"/>
      <x:c r="E383" s="337"/>
      <x:c r="F383" s="338"/>
      <x:c r="H383" s="327">
        <x:f>IF(L383=0,"",H382+1)</x:f>
      </x:c>
      <x:c r="I383" s="328">
        <x:f>IF(L383&gt;0,NbEch+Différé+1-H383,"")</x:f>
      </x:c>
      <x:c r="J383" s="339">
        <x:f>IF(ISNUMBER(K383),YEAR(K383),"")</x:f>
      </x:c>
      <x:c r="K383" s="340">
        <x:f>IF(L383=0,"",IF(Ijour=0,MIN(DATE(YEAR(DebAmort),MONTH(DebAmort)+(H383-1)*Imois,Jour1),DATE(YEAR(DebAmort),MONTH(DebAmort)+1+(H383-1)*Imois,0)),DATE(YEAR(DebAmort),MONTH(DebAmort),Jour1+(H383-1)*Ijour)))</x:f>
      </x:c>
      <x:c r="L383" s="341">
        <x:f>L382-N382</x:f>
      </x:c>
      <x:c r="M383" s="331">
        <x:f>IF(H383&lt;=NoEchMaxi,ROUND(L383*R383,NbDeci),0)</x:f>
      </x:c>
      <x:c r="N383" s="330">
        <x:f>IF(OR(H383&lt;=Différé,H383&gt;NoEchMaxi),IF(DiffTotal,-M383,0),IF(H383&gt;=NoEchRemb,L383,IF(S383-(M383*EchFIXE)&gt;L383-2,L383,S383-(M383*EchFIXE))))+C383</x:f>
      </x:c>
      <x:c r="O383" s="332">
        <x:f>IF(OR(L383=0,H383&gt;NoEchMaxi),0,ROUND(FraisF+FraisV*L383,NbDeci))+F383</x:f>
      </x:c>
      <x:c r="P383" s="342">
        <x:f>SUM(M383:O383)</x:f>
      </x:c>
      <x:c r="Q383" s="0"/>
      <x:c r="R383" s="71">
        <x:f>IF(B383&gt;0,IF(TauxActuariel,((B383+1)^(1/NbEchAn))-1,B383/NbEchAn),R382)</x:f>
      </x:c>
      <x:c r="S383" s="70">
        <x:f>IF(E383&gt;0,E383,IF(D383&gt;0,IF(AND(EchFIXE,R383&gt;0),ROUND((L383-C383)*R383/(1-((1+R383)^-D383)),NbDeci),ROUND(L383/D383,NbDeci)),S382))</x:f>
      </x:c>
    </x:row>
    <x:row r="384" spans="1:31" x14ac:dyDescent="0.2">
      <x:c r="B384" s="334"/>
      <x:c r="C384" s="335"/>
      <x:c r="D384" s="336"/>
      <x:c r="E384" s="337"/>
      <x:c r="F384" s="338"/>
      <x:c r="H384" s="327">
        <x:f>IF(L384=0,"",H383+1)</x:f>
      </x:c>
      <x:c r="I384" s="328">
        <x:f>IF(L384&gt;0,NbEch+Différé+1-H384,"")</x:f>
      </x:c>
      <x:c r="J384" s="339">
        <x:f>IF(ISNUMBER(K384),YEAR(K384),"")</x:f>
      </x:c>
      <x:c r="K384" s="340">
        <x:f>IF(L384=0,"",IF(Ijour=0,MIN(DATE(YEAR(DebAmort),MONTH(DebAmort)+MoisD+(H384-1)*Imois,Jour2),DATE(YEAR(DebAmort),MONTH(DebAmort)+MoisD+1+(H384-1)*Imois,0)),DATE(YEAR(DebAmort),MONTH(DebAmort),Jour1+(H384-1)*Ijour)))</x:f>
      </x:c>
      <x:c r="L384" s="341">
        <x:f>L383-N383</x:f>
      </x:c>
      <x:c r="M384" s="331">
        <x:f>IF(H384&lt;=NoEchMaxi,ROUND(L384*R384,NbDeci),0)</x:f>
      </x:c>
      <x:c r="N384" s="330">
        <x:f>IF(OR(H384&lt;=Différé,H384&gt;NoEchMaxi),IF(DiffTotal,-M384,0),IF(H384&gt;=NoEchRemb,L384,IF(S384-(M384*EchFIXE)&gt;L384-2,L384,S384-(M384*EchFIXE))))+C384</x:f>
      </x:c>
      <x:c r="O384" s="332">
        <x:f>IF(OR(L384=0,H384&gt;NoEchMaxi),0,ROUND(FraisF+FraisV*L384,NbDeci))+F384</x:f>
      </x:c>
      <x:c r="P384" s="342">
        <x:f>SUM(M384:O384)</x:f>
      </x:c>
      <x:c r="Q384" s="0"/>
      <x:c r="R384" s="71">
        <x:f>IF(B384&gt;0,IF(TauxActuariel,((B384+1)^(1/NbEchAn))-1,B384/NbEchAn),R383)</x:f>
      </x:c>
      <x:c r="S384" s="70">
        <x:f>IF(E384&gt;0,E384,IF(D384&gt;0,IF(AND(EchFIXE,R384&gt;0),ROUND((L384-C384)*R384/(1-((1+R384)^-D384)),NbDeci),ROUND(L384/D384,NbDeci)),S383))</x:f>
      </x:c>
    </x:row>
    <x:row r="385" spans="1:31" x14ac:dyDescent="0.2">
      <x:c r="B385" s="334"/>
      <x:c r="C385" s="335"/>
      <x:c r="D385" s="336"/>
      <x:c r="E385" s="337"/>
      <x:c r="F385" s="338"/>
      <x:c r="H385" s="327">
        <x:f>IF(L385=0,"",H384+1)</x:f>
      </x:c>
      <x:c r="I385" s="328">
        <x:f>IF(L385&gt;0,NbEch+Différé+1-H385,"")</x:f>
      </x:c>
      <x:c r="J385" s="339">
        <x:f>IF(ISNUMBER(K385),YEAR(K385),"")</x:f>
      </x:c>
      <x:c r="K385" s="340">
        <x:f>IF(L385=0,"",IF(Ijour=0,MIN(DATE(YEAR(DebAmort),MONTH(DebAmort)+(H385-1)*Imois,Jour1),DATE(YEAR(DebAmort),MONTH(DebAmort)+1+(H385-1)*Imois,0)),DATE(YEAR(DebAmort),MONTH(DebAmort),Jour1+(H385-1)*Ijour)))</x:f>
      </x:c>
      <x:c r="L385" s="341">
        <x:f>L384-N384</x:f>
      </x:c>
      <x:c r="M385" s="331">
        <x:f>IF(H385&lt;=NoEchMaxi,ROUND(L385*R385,NbDeci),0)</x:f>
      </x:c>
      <x:c r="N385" s="330">
        <x:f>IF(OR(H385&lt;=Différé,H385&gt;NoEchMaxi),IF(DiffTotal,-M385,0),IF(H385&gt;=NoEchRemb,L385,IF(S385-(M385*EchFIXE)&gt;L385-2,L385,S385-(M385*EchFIXE))))+C385</x:f>
      </x:c>
      <x:c r="O385" s="332">
        <x:f>IF(OR(L385=0,H385&gt;NoEchMaxi),0,ROUND(FraisF+FraisV*L385,NbDeci))+F385</x:f>
      </x:c>
      <x:c r="P385" s="342">
        <x:f>SUM(M385:O385)</x:f>
      </x:c>
      <x:c r="Q385" s="0"/>
      <x:c r="R385" s="71">
        <x:f>IF(B385&gt;0,IF(TauxActuariel,((B385+1)^(1/NbEchAn))-1,B385/NbEchAn),R384)</x:f>
      </x:c>
      <x:c r="S385" s="70">
        <x:f>IF(E385&gt;0,E385,IF(D385&gt;0,IF(AND(EchFIXE,R385&gt;0),ROUND((L385-C385)*R385/(1-((1+R385)^-D385)),NbDeci),ROUND(L385/D385,NbDeci)),S384))</x:f>
      </x:c>
    </x:row>
    <x:row r="386" spans="1:31" x14ac:dyDescent="0.2">
      <x:c r="B386" s="334"/>
      <x:c r="C386" s="335"/>
      <x:c r="D386" s="336"/>
      <x:c r="E386" s="337"/>
      <x:c r="F386" s="338"/>
      <x:c r="H386" s="327">
        <x:f>IF(L386=0,"",H385+1)</x:f>
      </x:c>
      <x:c r="I386" s="328">
        <x:f>IF(L386&gt;0,NbEch+Différé+1-H386,"")</x:f>
      </x:c>
      <x:c r="J386" s="339">
        <x:f>IF(ISNUMBER(K386),YEAR(K386),"")</x:f>
      </x:c>
      <x:c r="K386" s="340">
        <x:f>IF(L386=0,"",IF(Ijour=0,MIN(DATE(YEAR(DebAmort),MONTH(DebAmort)+MoisD+(H386-1)*Imois,Jour2),DATE(YEAR(DebAmort),MONTH(DebAmort)+MoisD+1+(H386-1)*Imois,0)),DATE(YEAR(DebAmort),MONTH(DebAmort),Jour1+(H386-1)*Ijour)))</x:f>
      </x:c>
      <x:c r="L386" s="341">
        <x:f>L385-N385</x:f>
      </x:c>
      <x:c r="M386" s="331">
        <x:f>IF(H386&lt;=NoEchMaxi,ROUND(L386*R386,NbDeci),0)</x:f>
      </x:c>
      <x:c r="N386" s="330">
        <x:f>IF(OR(H386&lt;=Différé,H386&gt;NoEchMaxi),IF(DiffTotal,-M386,0),IF(H386&gt;=NoEchRemb,L386,IF(S386-(M386*EchFIXE)&gt;L386-2,L386,S386-(M386*EchFIXE))))+C386</x:f>
      </x:c>
      <x:c r="O386" s="332">
        <x:f>IF(OR(L386=0,H386&gt;NoEchMaxi),0,ROUND(FraisF+FraisV*L386,NbDeci))+F386</x:f>
      </x:c>
      <x:c r="P386" s="342">
        <x:f>SUM(M386:O386)</x:f>
      </x:c>
      <x:c r="Q386" s="0"/>
      <x:c r="R386" s="71">
        <x:f>IF(B386&gt;0,IF(TauxActuariel,((B386+1)^(1/NbEchAn))-1,B386/NbEchAn),R385)</x:f>
      </x:c>
      <x:c r="S386" s="70">
        <x:f>IF(E386&gt;0,E386,IF(D386&gt;0,IF(AND(EchFIXE,R386&gt;0),ROUND((L386-C386)*R386/(1-((1+R386)^-D386)),NbDeci),ROUND(L386/D386,NbDeci)),S385))</x:f>
      </x:c>
    </x:row>
    <x:row r="387" spans="1:31" x14ac:dyDescent="0.2">
      <x:c r="B387" s="334"/>
      <x:c r="C387" s="335"/>
      <x:c r="D387" s="336"/>
      <x:c r="E387" s="337"/>
      <x:c r="F387" s="338"/>
      <x:c r="H387" s="327">
        <x:f>IF(L387=0,"",H386+1)</x:f>
      </x:c>
      <x:c r="I387" s="328">
        <x:f>IF(L387&gt;0,NbEch+Différé+1-H387,"")</x:f>
      </x:c>
      <x:c r="J387" s="339">
        <x:f>IF(ISNUMBER(K387),YEAR(K387),"")</x:f>
      </x:c>
      <x:c r="K387" s="340">
        <x:f>IF(L387=0,"",IF(Ijour=0,MIN(DATE(YEAR(DebAmort),MONTH(DebAmort)+(H387-1)*Imois,Jour1),DATE(YEAR(DebAmort),MONTH(DebAmort)+1+(H387-1)*Imois,0)),DATE(YEAR(DebAmort),MONTH(DebAmort),Jour1+(H387-1)*Ijour)))</x:f>
      </x:c>
      <x:c r="L387" s="341">
        <x:f>L386-N386</x:f>
      </x:c>
      <x:c r="M387" s="331">
        <x:f>IF(H387&lt;=NoEchMaxi,ROUND(L387*R387,NbDeci),0)</x:f>
      </x:c>
      <x:c r="N387" s="330">
        <x:f>IF(OR(H387&lt;=Différé,H387&gt;NoEchMaxi),IF(DiffTotal,-M387,0),IF(H387&gt;=NoEchRemb,L387,IF(S387-(M387*EchFIXE)&gt;L387-2,L387,S387-(M387*EchFIXE))))+C387</x:f>
      </x:c>
      <x:c r="O387" s="332">
        <x:f>IF(OR(L387=0,H387&gt;NoEchMaxi),0,ROUND(FraisF+FraisV*L387,NbDeci))+F387</x:f>
      </x:c>
      <x:c r="P387" s="342">
        <x:f>SUM(M387:O387)</x:f>
      </x:c>
      <x:c r="Q387" s="0"/>
      <x:c r="R387" s="71">
        <x:f>IF(B387&gt;0,IF(TauxActuariel,((B387+1)^(1/NbEchAn))-1,B387/NbEchAn),R386)</x:f>
      </x:c>
      <x:c r="S387" s="70">
        <x:f>IF(E387&gt;0,E387,IF(D387&gt;0,IF(AND(EchFIXE,R387&gt;0),ROUND((L387-C387)*R387/(1-((1+R387)^-D387)),NbDeci),ROUND(L387/D387,NbDeci)),S386))</x:f>
      </x:c>
    </x:row>
    <x:row r="388" spans="1:31" x14ac:dyDescent="0.2">
      <x:c r="B388" s="334"/>
      <x:c r="C388" s="335"/>
      <x:c r="D388" s="336"/>
      <x:c r="E388" s="337"/>
      <x:c r="F388" s="338"/>
      <x:c r="H388" s="327">
        <x:f>IF(L388=0,"",H387+1)</x:f>
      </x:c>
      <x:c r="I388" s="328">
        <x:f>IF(L388&gt;0,NbEch+Différé+1-H388,"")</x:f>
      </x:c>
      <x:c r="J388" s="339">
        <x:f>IF(ISNUMBER(K388),YEAR(K388),"")</x:f>
      </x:c>
      <x:c r="K388" s="340">
        <x:f>IF(L388=0,"",IF(Ijour=0,MIN(DATE(YEAR(DebAmort),MONTH(DebAmort)+MoisD+(H388-1)*Imois,Jour2),DATE(YEAR(DebAmort),MONTH(DebAmort)+MoisD+1+(H388-1)*Imois,0)),DATE(YEAR(DebAmort),MONTH(DebAmort),Jour1+(H388-1)*Ijour)))</x:f>
      </x:c>
      <x:c r="L388" s="341">
        <x:f>L387-N387</x:f>
      </x:c>
      <x:c r="M388" s="331">
        <x:f>IF(H388&lt;=NoEchMaxi,ROUND(L388*R388,NbDeci),0)</x:f>
      </x:c>
      <x:c r="N388" s="330">
        <x:f>IF(OR(H388&lt;=Différé,H388&gt;NoEchMaxi),IF(DiffTotal,-M388,0),IF(H388&gt;=NoEchRemb,L388,IF(S388-(M388*EchFIXE)&gt;L388-2,L388,S388-(M388*EchFIXE))))+C388</x:f>
      </x:c>
      <x:c r="O388" s="332">
        <x:f>IF(OR(L388=0,H388&gt;NoEchMaxi),0,ROUND(FraisF+FraisV*L388,NbDeci))+F388</x:f>
      </x:c>
      <x:c r="P388" s="342">
        <x:f>SUM(M388:O388)</x:f>
      </x:c>
      <x:c r="Q388" s="0"/>
      <x:c r="R388" s="71">
        <x:f>IF(B388&gt;0,IF(TauxActuariel,((B388+1)^(1/NbEchAn))-1,B388/NbEchAn),R387)</x:f>
      </x:c>
      <x:c r="S388" s="70">
        <x:f>IF(E388&gt;0,E388,IF(D388&gt;0,IF(AND(EchFIXE,R388&gt;0),ROUND((L388-C388)*R388/(1-((1+R388)^-D388)),NbDeci),ROUND(L388/D388,NbDeci)),S387))</x:f>
      </x:c>
    </x:row>
    <x:row r="389" spans="1:31" x14ac:dyDescent="0.2">
      <x:c r="B389" s="334"/>
      <x:c r="C389" s="335"/>
      <x:c r="D389" s="336"/>
      <x:c r="E389" s="337"/>
      <x:c r="F389" s="338"/>
      <x:c r="H389" s="327">
        <x:f>IF(L389=0,"",H388+1)</x:f>
      </x:c>
      <x:c r="I389" s="328">
        <x:f>IF(L389&gt;0,NbEch+Différé+1-H389,"")</x:f>
      </x:c>
      <x:c r="J389" s="339">
        <x:f>IF(ISNUMBER(K389),YEAR(K389),"")</x:f>
      </x:c>
      <x:c r="K389" s="340">
        <x:f>IF(L389=0,"",IF(Ijour=0,MIN(DATE(YEAR(DebAmort),MONTH(DebAmort)+(H389-1)*Imois,Jour1),DATE(YEAR(DebAmort),MONTH(DebAmort)+1+(H389-1)*Imois,0)),DATE(YEAR(DebAmort),MONTH(DebAmort),Jour1+(H389-1)*Ijour)))</x:f>
      </x:c>
      <x:c r="L389" s="341">
        <x:f>L388-N388</x:f>
      </x:c>
      <x:c r="M389" s="331">
        <x:f>IF(H389&lt;=NoEchMaxi,ROUND(L389*R389,NbDeci),0)</x:f>
      </x:c>
      <x:c r="N389" s="330">
        <x:f>IF(OR(H389&lt;=Différé,H389&gt;NoEchMaxi),IF(DiffTotal,-M389,0),IF(H389&gt;=NoEchRemb,L389,IF(S389-(M389*EchFIXE)&gt;L389-2,L389,S389-(M389*EchFIXE))))+C389</x:f>
      </x:c>
      <x:c r="O389" s="332">
        <x:f>IF(OR(L389=0,H389&gt;NoEchMaxi),0,ROUND(FraisF+FraisV*L389,NbDeci))+F389</x:f>
      </x:c>
      <x:c r="P389" s="342">
        <x:f>SUM(M389:O389)</x:f>
      </x:c>
      <x:c r="Q389" s="0"/>
      <x:c r="R389" s="71">
        <x:f>IF(B389&gt;0,IF(TauxActuariel,((B389+1)^(1/NbEchAn))-1,B389/NbEchAn),R388)</x:f>
      </x:c>
      <x:c r="S389" s="70">
        <x:f>IF(E389&gt;0,E389,IF(D389&gt;0,IF(AND(EchFIXE,R389&gt;0),ROUND((L389-C389)*R389/(1-((1+R389)^-D389)),NbDeci),ROUND(L389/D389,NbDeci)),S388))</x:f>
      </x:c>
    </x:row>
    <x:row r="390" spans="1:31" x14ac:dyDescent="0.2">
      <x:c r="B390" s="334"/>
      <x:c r="C390" s="335"/>
      <x:c r="D390" s="336"/>
      <x:c r="E390" s="337"/>
      <x:c r="F390" s="338"/>
      <x:c r="H390" s="327">
        <x:f>IF(L390=0,"",H389+1)</x:f>
      </x:c>
      <x:c r="I390" s="328">
        <x:f>IF(L390&gt;0,NbEch+Différé+1-H390,"")</x:f>
      </x:c>
      <x:c r="J390" s="339">
        <x:f>IF(ISNUMBER(K390),YEAR(K390),"")</x:f>
      </x:c>
      <x:c r="K390" s="340">
        <x:f>IF(L390=0,"",IF(Ijour=0,MIN(DATE(YEAR(DebAmort),MONTH(DebAmort)+MoisD+(H390-1)*Imois,Jour2),DATE(YEAR(DebAmort),MONTH(DebAmort)+MoisD+1+(H390-1)*Imois,0)),DATE(YEAR(DebAmort),MONTH(DebAmort),Jour1+(H390-1)*Ijour)))</x:f>
      </x:c>
      <x:c r="L390" s="341">
        <x:f>L389-N389</x:f>
      </x:c>
      <x:c r="M390" s="331">
        <x:f>IF(H390&lt;=NoEchMaxi,ROUND(L390*R390,NbDeci),0)</x:f>
      </x:c>
      <x:c r="N390" s="330">
        <x:f>IF(OR(H390&lt;=Différé,H390&gt;NoEchMaxi),IF(DiffTotal,-M390,0),IF(H390&gt;=NoEchRemb,L390,IF(S390-(M390*EchFIXE)&gt;L390-2,L390,S390-(M390*EchFIXE))))+C390</x:f>
      </x:c>
      <x:c r="O390" s="332">
        <x:f>IF(OR(L390=0,H390&gt;NoEchMaxi),0,ROUND(FraisF+FraisV*L390,NbDeci))+F390</x:f>
      </x:c>
      <x:c r="P390" s="342">
        <x:f>SUM(M390:O390)</x:f>
      </x:c>
      <x:c r="Q390" s="0"/>
      <x:c r="R390" s="71">
        <x:f>IF(B390&gt;0,IF(TauxActuariel,((B390+1)^(1/NbEchAn))-1,B390/NbEchAn),R389)</x:f>
      </x:c>
      <x:c r="S390" s="70">
        <x:f>IF(E390&gt;0,E390,IF(D390&gt;0,IF(AND(EchFIXE,R390&gt;0),ROUND((L390-C390)*R390/(1-((1+R390)^-D390)),NbDeci),ROUND(L390/D390,NbDeci)),S389))</x:f>
      </x:c>
    </x:row>
    <x:row r="391" spans="1:31" x14ac:dyDescent="0.2">
      <x:c r="B391" s="334"/>
      <x:c r="C391" s="335"/>
      <x:c r="D391" s="336"/>
      <x:c r="E391" s="337"/>
      <x:c r="F391" s="338"/>
      <x:c r="H391" s="327">
        <x:f>IF(L391=0,"",H390+1)</x:f>
      </x:c>
      <x:c r="I391" s="328">
        <x:f>IF(L391&gt;0,NbEch+Différé+1-H391,"")</x:f>
      </x:c>
      <x:c r="J391" s="339">
        <x:f>IF(ISNUMBER(K391),YEAR(K391),"")</x:f>
      </x:c>
      <x:c r="K391" s="340">
        <x:f>IF(L391=0,"",IF(Ijour=0,MIN(DATE(YEAR(DebAmort),MONTH(DebAmort)+(H391-1)*Imois,Jour1),DATE(YEAR(DebAmort),MONTH(DebAmort)+1+(H391-1)*Imois,0)),DATE(YEAR(DebAmort),MONTH(DebAmort),Jour1+(H391-1)*Ijour)))</x:f>
      </x:c>
      <x:c r="L391" s="341">
        <x:f>L390-N390</x:f>
      </x:c>
      <x:c r="M391" s="331">
        <x:f>IF(H391&lt;=NoEchMaxi,ROUND(L391*R391,NbDeci),0)</x:f>
      </x:c>
      <x:c r="N391" s="330">
        <x:f>IF(OR(H391&lt;=Différé,H391&gt;NoEchMaxi),IF(DiffTotal,-M391,0),IF(H391&gt;=NoEchRemb,L391,IF(S391-(M391*EchFIXE)&gt;L391-2,L391,S391-(M391*EchFIXE))))+C391</x:f>
      </x:c>
      <x:c r="O391" s="332">
        <x:f>IF(OR(L391=0,H391&gt;NoEchMaxi),0,ROUND(FraisF+FraisV*L391,NbDeci))+F391</x:f>
      </x:c>
      <x:c r="P391" s="342">
        <x:f>SUM(M391:O391)</x:f>
      </x:c>
      <x:c r="Q391" s="0"/>
      <x:c r="R391" s="71">
        <x:f>IF(B391&gt;0,IF(TauxActuariel,((B391+1)^(1/NbEchAn))-1,B391/NbEchAn),R390)</x:f>
      </x:c>
      <x:c r="S391" s="70">
        <x:f>IF(E391&gt;0,E391,IF(D391&gt;0,IF(AND(EchFIXE,R391&gt;0),ROUND((L391-C391)*R391/(1-((1+R391)^-D391)),NbDeci),ROUND(L391/D391,NbDeci)),S390))</x:f>
      </x:c>
    </x:row>
    <x:row r="392" spans="1:31" x14ac:dyDescent="0.2">
      <x:c r="B392" s="334"/>
      <x:c r="C392" s="335"/>
      <x:c r="D392" s="336"/>
      <x:c r="E392" s="337"/>
      <x:c r="F392" s="338"/>
      <x:c r="H392" s="327">
        <x:f>IF(L392=0,"",H391+1)</x:f>
      </x:c>
      <x:c r="I392" s="328">
        <x:f>IF(L392&gt;0,NbEch+Différé+1-H392,"")</x:f>
      </x:c>
      <x:c r="J392" s="339">
        <x:f>IF(ISNUMBER(K392),YEAR(K392),"")</x:f>
      </x:c>
      <x:c r="K392" s="340">
        <x:f>IF(L392=0,"",IF(Ijour=0,MIN(DATE(YEAR(DebAmort),MONTH(DebAmort)+MoisD+(H392-1)*Imois,Jour2),DATE(YEAR(DebAmort),MONTH(DebAmort)+MoisD+1+(H392-1)*Imois,0)),DATE(YEAR(DebAmort),MONTH(DebAmort),Jour1+(H392-1)*Ijour)))</x:f>
      </x:c>
      <x:c r="L392" s="341">
        <x:f>L391-N391</x:f>
      </x:c>
      <x:c r="M392" s="331">
        <x:f>IF(H392&lt;=NoEchMaxi,ROUND(L392*R392,NbDeci),0)</x:f>
      </x:c>
      <x:c r="N392" s="330">
        <x:f>IF(OR(H392&lt;=Différé,H392&gt;NoEchMaxi),IF(DiffTotal,-M392,0),IF(H392&gt;=NoEchRemb,L392,IF(S392-(M392*EchFIXE)&gt;L392-2,L392,S392-(M392*EchFIXE))))+C392</x:f>
      </x:c>
      <x:c r="O392" s="332">
        <x:f>IF(OR(L392=0,H392&gt;NoEchMaxi),0,ROUND(FraisF+FraisV*L392,NbDeci))+F392</x:f>
      </x:c>
      <x:c r="P392" s="342">
        <x:f>SUM(M392:O392)</x:f>
      </x:c>
      <x:c r="Q392" s="0"/>
      <x:c r="R392" s="71">
        <x:f>IF(B392&gt;0,IF(TauxActuariel,((B392+1)^(1/NbEchAn))-1,B392/NbEchAn),R391)</x:f>
      </x:c>
      <x:c r="S392" s="70">
        <x:f>IF(E392&gt;0,E392,IF(D392&gt;0,IF(AND(EchFIXE,R392&gt;0),ROUND((L392-C392)*R392/(1-((1+R392)^-D392)),NbDeci),ROUND(L392/D392,NbDeci)),S391))</x:f>
      </x:c>
    </x:row>
    <x:row r="393" spans="1:31" x14ac:dyDescent="0.2">
      <x:c r="B393" s="334"/>
      <x:c r="C393" s="335"/>
      <x:c r="D393" s="336"/>
      <x:c r="E393" s="337"/>
      <x:c r="F393" s="338"/>
      <x:c r="H393" s="327">
        <x:f>IF(L393=0,"",H392+1)</x:f>
      </x:c>
      <x:c r="I393" s="328">
        <x:f>IF(L393&gt;0,NbEch+Différé+1-H393,"")</x:f>
      </x:c>
      <x:c r="J393" s="339">
        <x:f>IF(ISNUMBER(K393),YEAR(K393),"")</x:f>
      </x:c>
      <x:c r="K393" s="340">
        <x:f>IF(L393=0,"",IF(Ijour=0,MIN(DATE(YEAR(DebAmort),MONTH(DebAmort)+(H393-1)*Imois,Jour1),DATE(YEAR(DebAmort),MONTH(DebAmort)+1+(H393-1)*Imois,0)),DATE(YEAR(DebAmort),MONTH(DebAmort),Jour1+(H393-1)*Ijour)))</x:f>
      </x:c>
      <x:c r="L393" s="341">
        <x:f>L392-N392</x:f>
      </x:c>
      <x:c r="M393" s="331">
        <x:f>IF(H393&lt;=NoEchMaxi,ROUND(L393*R393,NbDeci),0)</x:f>
      </x:c>
      <x:c r="N393" s="330">
        <x:f>IF(OR(H393&lt;=Différé,H393&gt;NoEchMaxi),IF(DiffTotal,-M393,0),IF(H393&gt;=NoEchRemb,L393,IF(S393-(M393*EchFIXE)&gt;L393-2,L393,S393-(M393*EchFIXE))))+C393</x:f>
      </x:c>
      <x:c r="O393" s="332">
        <x:f>IF(OR(L393=0,H393&gt;NoEchMaxi),0,ROUND(FraisF+FraisV*L393,NbDeci))+F393</x:f>
      </x:c>
      <x:c r="P393" s="342">
        <x:f>SUM(M393:O393)</x:f>
      </x:c>
      <x:c r="Q393" s="0"/>
      <x:c r="R393" s="71">
        <x:f>IF(B393&gt;0,IF(TauxActuariel,((B393+1)^(1/NbEchAn))-1,B393/NbEchAn),R392)</x:f>
      </x:c>
      <x:c r="S393" s="70">
        <x:f>IF(E393&gt;0,E393,IF(D393&gt;0,IF(AND(EchFIXE,R393&gt;0),ROUND((L393-C393)*R393/(1-((1+R393)^-D393)),NbDeci),ROUND(L393/D393,NbDeci)),S392))</x:f>
      </x:c>
    </x:row>
    <x:row r="394" spans="1:31" x14ac:dyDescent="0.2">
      <x:c r="B394" s="334"/>
      <x:c r="C394" s="335"/>
      <x:c r="D394" s="336"/>
      <x:c r="E394" s="337"/>
      <x:c r="F394" s="338"/>
      <x:c r="H394" s="327">
        <x:f>IF(L394=0,"",H393+1)</x:f>
      </x:c>
      <x:c r="I394" s="328">
        <x:f>IF(L394&gt;0,NbEch+Différé+1-H394,"")</x:f>
      </x:c>
      <x:c r="J394" s="339">
        <x:f>IF(ISNUMBER(K394),YEAR(K394),"")</x:f>
      </x:c>
      <x:c r="K394" s="340">
        <x:f>IF(L394=0,"",IF(Ijour=0,MIN(DATE(YEAR(DebAmort),MONTH(DebAmort)+MoisD+(H394-1)*Imois,Jour2),DATE(YEAR(DebAmort),MONTH(DebAmort)+MoisD+1+(H394-1)*Imois,0)),DATE(YEAR(DebAmort),MONTH(DebAmort),Jour1+(H394-1)*Ijour)))</x:f>
      </x:c>
      <x:c r="L394" s="341">
        <x:f>L393-N393</x:f>
      </x:c>
      <x:c r="M394" s="331">
        <x:f>IF(H394&lt;=NoEchMaxi,ROUND(L394*R394,NbDeci),0)</x:f>
      </x:c>
      <x:c r="N394" s="330">
        <x:f>IF(OR(H394&lt;=Différé,H394&gt;NoEchMaxi),IF(DiffTotal,-M394,0),IF(H394&gt;=NoEchRemb,L394,IF(S394-(M394*EchFIXE)&gt;L394-2,L394,S394-(M394*EchFIXE))))+C394</x:f>
      </x:c>
      <x:c r="O394" s="332">
        <x:f>IF(OR(L394=0,H394&gt;NoEchMaxi),0,ROUND(FraisF+FraisV*L394,NbDeci))+F394</x:f>
      </x:c>
      <x:c r="P394" s="342">
        <x:f>SUM(M394:O394)</x:f>
      </x:c>
      <x:c r="Q394" s="0"/>
      <x:c r="R394" s="71">
        <x:f>IF(B394&gt;0,IF(TauxActuariel,((B394+1)^(1/NbEchAn))-1,B394/NbEchAn),R393)</x:f>
      </x:c>
      <x:c r="S394" s="70">
        <x:f>IF(E394&gt;0,E394,IF(D394&gt;0,IF(AND(EchFIXE,R394&gt;0),ROUND((L394-C394)*R394/(1-((1+R394)^-D394)),NbDeci),ROUND(L394/D394,NbDeci)),S393))</x:f>
      </x:c>
    </x:row>
    <x:row r="395" spans="1:31" x14ac:dyDescent="0.2">
      <x:c r="B395" s="334"/>
      <x:c r="C395" s="335"/>
      <x:c r="D395" s="336"/>
      <x:c r="E395" s="337"/>
      <x:c r="F395" s="338"/>
      <x:c r="H395" s="327">
        <x:f>IF(L395=0,"",H394+1)</x:f>
      </x:c>
      <x:c r="I395" s="328">
        <x:f>IF(L395&gt;0,NbEch+Différé+1-H395,"")</x:f>
      </x:c>
      <x:c r="J395" s="339">
        <x:f>IF(ISNUMBER(K395),YEAR(K395),"")</x:f>
      </x:c>
      <x:c r="K395" s="340">
        <x:f>IF(L395=0,"",IF(Ijour=0,MIN(DATE(YEAR(DebAmort),MONTH(DebAmort)+(H395-1)*Imois,Jour1),DATE(YEAR(DebAmort),MONTH(DebAmort)+1+(H395-1)*Imois,0)),DATE(YEAR(DebAmort),MONTH(DebAmort),Jour1+(H395-1)*Ijour)))</x:f>
      </x:c>
      <x:c r="L395" s="341">
        <x:f>L394-N394</x:f>
      </x:c>
      <x:c r="M395" s="331">
        <x:f>IF(H395&lt;=NoEchMaxi,ROUND(L395*R395,NbDeci),0)</x:f>
      </x:c>
      <x:c r="N395" s="330">
        <x:f>IF(OR(H395&lt;=Différé,H395&gt;NoEchMaxi),IF(DiffTotal,-M395,0),IF(H395&gt;=NoEchRemb,L395,IF(S395-(M395*EchFIXE)&gt;L395-2,L395,S395-(M395*EchFIXE))))+C395</x:f>
      </x:c>
      <x:c r="O395" s="332">
        <x:f>IF(OR(L395=0,H395&gt;NoEchMaxi),0,ROUND(FraisF+FraisV*L395,NbDeci))+F395</x:f>
      </x:c>
      <x:c r="P395" s="342">
        <x:f>SUM(M395:O395)</x:f>
      </x:c>
      <x:c r="Q395" s="0"/>
      <x:c r="R395" s="71">
        <x:f>IF(B395&gt;0,IF(TauxActuariel,((B395+1)^(1/NbEchAn))-1,B395/NbEchAn),R394)</x:f>
      </x:c>
      <x:c r="S395" s="70">
        <x:f>IF(E395&gt;0,E395,IF(D395&gt;0,IF(AND(EchFIXE,R395&gt;0),ROUND((L395-C395)*R395/(1-((1+R395)^-D395)),NbDeci),ROUND(L395/D395,NbDeci)),S394))</x:f>
      </x:c>
    </x:row>
    <x:row r="396" spans="1:31" x14ac:dyDescent="0.2">
      <x:c r="B396" s="334"/>
      <x:c r="C396" s="335"/>
      <x:c r="D396" s="336"/>
      <x:c r="E396" s="337"/>
      <x:c r="F396" s="338"/>
      <x:c r="H396" s="327">
        <x:f>IF(L396=0,"",H395+1)</x:f>
      </x:c>
      <x:c r="I396" s="328">
        <x:f>IF(L396&gt;0,NbEch+Différé+1-H396,"")</x:f>
      </x:c>
      <x:c r="J396" s="339">
        <x:f>IF(ISNUMBER(K396),YEAR(K396),"")</x:f>
      </x:c>
      <x:c r="K396" s="340">
        <x:f>IF(L396=0,"",IF(Ijour=0,MIN(DATE(YEAR(DebAmort),MONTH(DebAmort)+MoisD+(H396-1)*Imois,Jour2),DATE(YEAR(DebAmort),MONTH(DebAmort)+MoisD+1+(H396-1)*Imois,0)),DATE(YEAR(DebAmort),MONTH(DebAmort),Jour1+(H396-1)*Ijour)))</x:f>
      </x:c>
      <x:c r="L396" s="341">
        <x:f>L395-N395</x:f>
      </x:c>
      <x:c r="M396" s="331">
        <x:f>IF(H396&lt;=NoEchMaxi,ROUND(L396*R396,NbDeci),0)</x:f>
      </x:c>
      <x:c r="N396" s="330">
        <x:f>IF(OR(H396&lt;=Différé,H396&gt;NoEchMaxi),IF(DiffTotal,-M396,0),IF(H396&gt;=NoEchRemb,L396,IF(S396-(M396*EchFIXE)&gt;L396-2,L396,S396-(M396*EchFIXE))))+C396</x:f>
      </x:c>
      <x:c r="O396" s="332">
        <x:f>IF(OR(L396=0,H396&gt;NoEchMaxi),0,ROUND(FraisF+FraisV*L396,NbDeci))+F396</x:f>
      </x:c>
      <x:c r="P396" s="342">
        <x:f>SUM(M396:O396)</x:f>
      </x:c>
      <x:c r="Q396" s="0"/>
      <x:c r="R396" s="71">
        <x:f>IF(B396&gt;0,IF(TauxActuariel,((B396+1)^(1/NbEchAn))-1,B396/NbEchAn),R395)</x:f>
      </x:c>
      <x:c r="S396" s="70">
        <x:f>IF(E396&gt;0,E396,IF(D396&gt;0,IF(AND(EchFIXE,R396&gt;0),ROUND((L396-C396)*R396/(1-((1+R396)^-D396)),NbDeci),ROUND(L396/D396,NbDeci)),S395))</x:f>
      </x:c>
    </x:row>
    <x:row r="397" spans="1:31" x14ac:dyDescent="0.2">
      <x:c r="B397" s="334"/>
      <x:c r="C397" s="335"/>
      <x:c r="D397" s="336"/>
      <x:c r="E397" s="337"/>
      <x:c r="F397" s="338"/>
      <x:c r="H397" s="327">
        <x:f>IF(L397=0,"",H396+1)</x:f>
      </x:c>
      <x:c r="I397" s="328">
        <x:f>IF(L397&gt;0,NbEch+Différé+1-H397,"")</x:f>
      </x:c>
      <x:c r="J397" s="339">
        <x:f>IF(ISNUMBER(K397),YEAR(K397),"")</x:f>
      </x:c>
      <x:c r="K397" s="340">
        <x:f>IF(L397=0,"",IF(Ijour=0,MIN(DATE(YEAR(DebAmort),MONTH(DebAmort)+(H397-1)*Imois,Jour1),DATE(YEAR(DebAmort),MONTH(DebAmort)+1+(H397-1)*Imois,0)),DATE(YEAR(DebAmort),MONTH(DebAmort),Jour1+(H397-1)*Ijour)))</x:f>
      </x:c>
      <x:c r="L397" s="341">
        <x:f>L396-N396</x:f>
      </x:c>
      <x:c r="M397" s="331">
        <x:f>IF(H397&lt;=NoEchMaxi,ROUND(L397*R397,NbDeci),0)</x:f>
      </x:c>
      <x:c r="N397" s="330">
        <x:f>IF(OR(H397&lt;=Différé,H397&gt;NoEchMaxi),IF(DiffTotal,-M397,0),IF(H397&gt;=NoEchRemb,L397,IF(S397-(M397*EchFIXE)&gt;L397-2,L397,S397-(M397*EchFIXE))))+C397</x:f>
      </x:c>
      <x:c r="O397" s="332">
        <x:f>IF(OR(L397=0,H397&gt;NoEchMaxi),0,ROUND(FraisF+FraisV*L397,NbDeci))+F397</x:f>
      </x:c>
      <x:c r="P397" s="342">
        <x:f>SUM(M397:O397)</x:f>
      </x:c>
      <x:c r="Q397" s="0"/>
      <x:c r="R397" s="71">
        <x:f>IF(B397&gt;0,IF(TauxActuariel,((B397+1)^(1/NbEchAn))-1,B397/NbEchAn),R396)</x:f>
      </x:c>
      <x:c r="S397" s="70">
        <x:f>IF(E397&gt;0,E397,IF(D397&gt;0,IF(AND(EchFIXE,R397&gt;0),ROUND((L397-C397)*R397/(1-((1+R397)^-D397)),NbDeci),ROUND(L397/D397,NbDeci)),S396))</x:f>
      </x:c>
    </x:row>
    <x:row r="398" spans="1:31" x14ac:dyDescent="0.2">
      <x:c r="B398" s="334"/>
      <x:c r="C398" s="335"/>
      <x:c r="D398" s="336"/>
      <x:c r="E398" s="337"/>
      <x:c r="F398" s="338"/>
      <x:c r="H398" s="327">
        <x:f>IF(L398=0,"",H397+1)</x:f>
      </x:c>
      <x:c r="I398" s="328">
        <x:f>IF(L398&gt;0,NbEch+Différé+1-H398,"")</x:f>
      </x:c>
      <x:c r="J398" s="339">
        <x:f>IF(ISNUMBER(K398),YEAR(K398),"")</x:f>
      </x:c>
      <x:c r="K398" s="340">
        <x:f>IF(L398=0,"",IF(Ijour=0,MIN(DATE(YEAR(DebAmort),MONTH(DebAmort)+MoisD+(H398-1)*Imois,Jour2),DATE(YEAR(DebAmort),MONTH(DebAmort)+MoisD+1+(H398-1)*Imois,0)),DATE(YEAR(DebAmort),MONTH(DebAmort),Jour1+(H398-1)*Ijour)))</x:f>
      </x:c>
      <x:c r="L398" s="341">
        <x:f>L397-N397</x:f>
      </x:c>
      <x:c r="M398" s="331">
        <x:f>IF(H398&lt;=NoEchMaxi,ROUND(L398*R398,NbDeci),0)</x:f>
      </x:c>
      <x:c r="N398" s="330">
        <x:f>IF(OR(H398&lt;=Différé,H398&gt;NoEchMaxi),IF(DiffTotal,-M398,0),IF(H398&gt;=NoEchRemb,L398,IF(S398-(M398*EchFIXE)&gt;L398-2,L398,S398-(M398*EchFIXE))))+C398</x:f>
      </x:c>
      <x:c r="O398" s="332">
        <x:f>IF(OR(L398=0,H398&gt;NoEchMaxi),0,ROUND(FraisF+FraisV*L398,NbDeci))+F398</x:f>
      </x:c>
      <x:c r="P398" s="342">
        <x:f>SUM(M398:O398)</x:f>
      </x:c>
      <x:c r="Q398" s="0"/>
      <x:c r="R398" s="71">
        <x:f>IF(B398&gt;0,IF(TauxActuariel,((B398+1)^(1/NbEchAn))-1,B398/NbEchAn),R397)</x:f>
      </x:c>
      <x:c r="S398" s="70">
        <x:f>IF(E398&gt;0,E398,IF(D398&gt;0,IF(AND(EchFIXE,R398&gt;0),ROUND((L398-C398)*R398/(1-((1+R398)^-D398)),NbDeci),ROUND(L398/D398,NbDeci)),S397))</x:f>
      </x:c>
    </x:row>
    <x:row r="399" spans="1:31" x14ac:dyDescent="0.2">
      <x:c r="B399" s="334"/>
      <x:c r="C399" s="335"/>
      <x:c r="D399" s="336"/>
      <x:c r="E399" s="337"/>
      <x:c r="F399" s="338"/>
      <x:c r="H399" s="327">
        <x:f>IF(L399=0,"",H398+1)</x:f>
      </x:c>
      <x:c r="I399" s="328">
        <x:f>IF(L399&gt;0,NbEch+Différé+1-H399,"")</x:f>
      </x:c>
      <x:c r="J399" s="339">
        <x:f>IF(ISNUMBER(K399),YEAR(K399),"")</x:f>
      </x:c>
      <x:c r="K399" s="340">
        <x:f>IF(L399=0,"",IF(Ijour=0,MIN(DATE(YEAR(DebAmort),MONTH(DebAmort)+(H399-1)*Imois,Jour1),DATE(YEAR(DebAmort),MONTH(DebAmort)+1+(H399-1)*Imois,0)),DATE(YEAR(DebAmort),MONTH(DebAmort),Jour1+(H399-1)*Ijour)))</x:f>
      </x:c>
      <x:c r="L399" s="341">
        <x:f>L398-N398</x:f>
      </x:c>
      <x:c r="M399" s="331">
        <x:f>IF(H399&lt;=NoEchMaxi,ROUND(L399*R399,NbDeci),0)</x:f>
      </x:c>
      <x:c r="N399" s="330">
        <x:f>IF(OR(H399&lt;=Différé,H399&gt;NoEchMaxi),IF(DiffTotal,-M399,0),IF(H399&gt;=NoEchRemb,L399,IF(S399-(M399*EchFIXE)&gt;L399-2,L399,S399-(M399*EchFIXE))))+C399</x:f>
      </x:c>
      <x:c r="O399" s="332">
        <x:f>IF(OR(L399=0,H399&gt;NoEchMaxi),0,ROUND(FraisF+FraisV*L399,NbDeci))+F399</x:f>
      </x:c>
      <x:c r="P399" s="342">
        <x:f>SUM(M399:O399)</x:f>
      </x:c>
      <x:c r="Q399" s="0"/>
      <x:c r="R399" s="71">
        <x:f>IF(B399&gt;0,IF(TauxActuariel,((B399+1)^(1/NbEchAn))-1,B399/NbEchAn),R398)</x:f>
      </x:c>
      <x:c r="S399" s="70">
        <x:f>IF(E399&gt;0,E399,IF(D399&gt;0,IF(AND(EchFIXE,R399&gt;0),ROUND((L399-C399)*R399/(1-((1+R399)^-D399)),NbDeci),ROUND(L399/D399,NbDeci)),S398))</x:f>
      </x:c>
    </x:row>
    <x:row r="400" spans="1:31" x14ac:dyDescent="0.2">
      <x:c r="B400" s="334"/>
      <x:c r="C400" s="335"/>
      <x:c r="D400" s="336"/>
      <x:c r="E400" s="337"/>
      <x:c r="F400" s="338"/>
      <x:c r="H400" s="327">
        <x:f>IF(L400=0,"",H399+1)</x:f>
      </x:c>
      <x:c r="I400" s="328">
        <x:f>IF(L400&gt;0,NbEch+Différé+1-H400,"")</x:f>
      </x:c>
      <x:c r="J400" s="339">
        <x:f>IF(ISNUMBER(K400),YEAR(K400),"")</x:f>
      </x:c>
      <x:c r="K400" s="340">
        <x:f>IF(L400=0,"",IF(Ijour=0,MIN(DATE(YEAR(DebAmort),MONTH(DebAmort)+MoisD+(H400-1)*Imois,Jour2),DATE(YEAR(DebAmort),MONTH(DebAmort)+MoisD+1+(H400-1)*Imois,0)),DATE(YEAR(DebAmort),MONTH(DebAmort),Jour1+(H400-1)*Ijour)))</x:f>
      </x:c>
      <x:c r="L400" s="341">
        <x:f>L399-N399</x:f>
      </x:c>
      <x:c r="M400" s="331">
        <x:f>IF(H400&lt;=NoEchMaxi,ROUND(L400*R400,NbDeci),0)</x:f>
      </x:c>
      <x:c r="N400" s="330">
        <x:f>IF(OR(H400&lt;=Différé,H400&gt;NoEchMaxi),IF(DiffTotal,-M400,0),IF(H400&gt;=NoEchRemb,L400,IF(S400-(M400*EchFIXE)&gt;L400-2,L400,S400-(M400*EchFIXE))))+C400</x:f>
      </x:c>
      <x:c r="O400" s="332">
        <x:f>IF(OR(L400=0,H400&gt;NoEchMaxi),0,ROUND(FraisF+FraisV*L400,NbDeci))+F400</x:f>
      </x:c>
      <x:c r="P400" s="342">
        <x:f>SUM(M400:O400)</x:f>
      </x:c>
      <x:c r="Q400" s="0"/>
      <x:c r="R400" s="71">
        <x:f>IF(B400&gt;0,IF(TauxActuariel,((B400+1)^(1/NbEchAn))-1,B400/NbEchAn),R399)</x:f>
      </x:c>
      <x:c r="S400" s="70">
        <x:f>IF(E400&gt;0,E400,IF(D400&gt;0,IF(AND(EchFIXE,R400&gt;0),ROUND((L400-C400)*R400/(1-((1+R400)^-D400)),NbDeci),ROUND(L400/D400,NbDeci)),S399))</x:f>
      </x:c>
    </x:row>
    <x:row r="401" spans="1:31" x14ac:dyDescent="0.2">
      <x:c r="B401" s="334"/>
      <x:c r="C401" s="335"/>
      <x:c r="D401" s="336"/>
      <x:c r="E401" s="337"/>
      <x:c r="F401" s="338"/>
      <x:c r="H401" s="327">
        <x:f>IF(L401=0,"",H400+1)</x:f>
      </x:c>
      <x:c r="I401" s="328">
        <x:f>IF(L401&gt;0,NbEch+Différé+1-H401,"")</x:f>
      </x:c>
      <x:c r="J401" s="339">
        <x:f>IF(ISNUMBER(K401),YEAR(K401),"")</x:f>
      </x:c>
      <x:c r="K401" s="340">
        <x:f>IF(L401=0,"",IF(Ijour=0,MIN(DATE(YEAR(DebAmort),MONTH(DebAmort)+(H401-1)*Imois,Jour1),DATE(YEAR(DebAmort),MONTH(DebAmort)+1+(H401-1)*Imois,0)),DATE(YEAR(DebAmort),MONTH(DebAmort),Jour1+(H401-1)*Ijour)))</x:f>
      </x:c>
      <x:c r="L401" s="341">
        <x:f>L400-N400</x:f>
      </x:c>
      <x:c r="M401" s="331">
        <x:f>IF(H401&lt;=NoEchMaxi,ROUND(L401*R401,NbDeci),0)</x:f>
      </x:c>
      <x:c r="N401" s="330">
        <x:f>IF(OR(H401&lt;=Différé,H401&gt;NoEchMaxi),IF(DiffTotal,-M401,0),IF(H401&gt;=NoEchRemb,L401,IF(S401-(M401*EchFIXE)&gt;L401-2,L401,S401-(M401*EchFIXE))))+C401</x:f>
      </x:c>
      <x:c r="O401" s="332">
        <x:f>IF(OR(L401=0,H401&gt;NoEchMaxi),0,ROUND(FraisF+FraisV*L401,NbDeci))+F401</x:f>
      </x:c>
      <x:c r="P401" s="342">
        <x:f>SUM(M401:O401)</x:f>
      </x:c>
      <x:c r="Q401" s="0"/>
      <x:c r="R401" s="71">
        <x:f>IF(B401&gt;0,IF(TauxActuariel,((B401+1)^(1/NbEchAn))-1,B401/NbEchAn),R400)</x:f>
      </x:c>
      <x:c r="S401" s="70">
        <x:f>IF(E401&gt;0,E401,IF(D401&gt;0,IF(AND(EchFIXE,R401&gt;0),ROUND((L401-C401)*R401/(1-((1+R401)^-D401)),NbDeci),ROUND(L401/D401,NbDeci)),S400))</x:f>
      </x:c>
    </x:row>
    <x:row r="402" spans="1:31" x14ac:dyDescent="0.2">
      <x:c r="B402" s="334"/>
      <x:c r="C402" s="335"/>
      <x:c r="D402" s="336"/>
      <x:c r="E402" s="337"/>
      <x:c r="F402" s="338"/>
      <x:c r="H402" s="327">
        <x:f>IF(L402=0,"",H401+1)</x:f>
      </x:c>
      <x:c r="I402" s="328">
        <x:f>IF(L402&gt;0,NbEch+Différé+1-H402,"")</x:f>
      </x:c>
      <x:c r="J402" s="339">
        <x:f>IF(ISNUMBER(K402),YEAR(K402),"")</x:f>
      </x:c>
      <x:c r="K402" s="340">
        <x:f>IF(L402=0,"",IF(Ijour=0,MIN(DATE(YEAR(DebAmort),MONTH(DebAmort)+MoisD+(H402-1)*Imois,Jour2),DATE(YEAR(DebAmort),MONTH(DebAmort)+MoisD+1+(H402-1)*Imois,0)),DATE(YEAR(DebAmort),MONTH(DebAmort),Jour1+(H402-1)*Ijour)))</x:f>
      </x:c>
      <x:c r="L402" s="341">
        <x:f>L401-N401</x:f>
      </x:c>
      <x:c r="M402" s="331">
        <x:f>IF(H402&lt;=NoEchMaxi,ROUND(L402*R402,NbDeci),0)</x:f>
      </x:c>
      <x:c r="N402" s="330">
        <x:f>IF(OR(H402&lt;=Différé,H402&gt;NoEchMaxi),IF(DiffTotal,-M402,0),IF(H402&gt;=NoEchRemb,L402,IF(S402-(M402*EchFIXE)&gt;L402-2,L402,S402-(M402*EchFIXE))))+C402</x:f>
      </x:c>
      <x:c r="O402" s="332">
        <x:f>IF(OR(L402=0,H402&gt;NoEchMaxi),0,ROUND(FraisF+FraisV*L402,NbDeci))+F402</x:f>
      </x:c>
      <x:c r="P402" s="342">
        <x:f>SUM(M402:O402)</x:f>
      </x:c>
      <x:c r="Q402" s="0"/>
      <x:c r="R402" s="71">
        <x:f>IF(B402&gt;0,IF(TauxActuariel,((B402+1)^(1/NbEchAn))-1,B402/NbEchAn),R401)</x:f>
      </x:c>
      <x:c r="S402" s="70">
        <x:f>IF(E402&gt;0,E402,IF(D402&gt;0,IF(AND(EchFIXE,R402&gt;0),ROUND((L402-C402)*R402/(1-((1+R402)^-D402)),NbDeci),ROUND(L402/D402,NbDeci)),S401))</x:f>
      </x:c>
    </x:row>
    <x:row r="403" spans="1:31" x14ac:dyDescent="0.2">
      <x:c r="B403" s="334"/>
      <x:c r="C403" s="335"/>
      <x:c r="D403" s="336"/>
      <x:c r="E403" s="337"/>
      <x:c r="F403" s="338"/>
      <x:c r="H403" s="327">
        <x:f>IF(L403=0,"",H402+1)</x:f>
      </x:c>
      <x:c r="I403" s="328">
        <x:f>IF(L403&gt;0,NbEch+Différé+1-H403,"")</x:f>
      </x:c>
      <x:c r="J403" s="339">
        <x:f>IF(ISNUMBER(K403),YEAR(K403),"")</x:f>
      </x:c>
      <x:c r="K403" s="340">
        <x:f>IF(L403=0,"",IF(Ijour=0,MIN(DATE(YEAR(DebAmort),MONTH(DebAmort)+(H403-1)*Imois,Jour1),DATE(YEAR(DebAmort),MONTH(DebAmort)+1+(H403-1)*Imois,0)),DATE(YEAR(DebAmort),MONTH(DebAmort),Jour1+(H403-1)*Ijour)))</x:f>
      </x:c>
      <x:c r="L403" s="341">
        <x:f>L402-N402</x:f>
      </x:c>
      <x:c r="M403" s="331">
        <x:f>IF(H403&lt;=NoEchMaxi,ROUND(L403*R403,NbDeci),0)</x:f>
      </x:c>
      <x:c r="N403" s="330">
        <x:f>IF(OR(H403&lt;=Différé,H403&gt;NoEchMaxi),IF(DiffTotal,-M403,0),IF(H403&gt;=NoEchRemb,L403,IF(S403-(M403*EchFIXE)&gt;L403-2,L403,S403-(M403*EchFIXE))))+C403</x:f>
      </x:c>
      <x:c r="O403" s="332">
        <x:f>IF(OR(L403=0,H403&gt;NoEchMaxi),0,ROUND(FraisF+FraisV*L403,NbDeci))+F403</x:f>
      </x:c>
      <x:c r="P403" s="342">
        <x:f>SUM(M403:O403)</x:f>
      </x:c>
      <x:c r="Q403" s="0"/>
      <x:c r="R403" s="71">
        <x:f>IF(B403&gt;0,IF(TauxActuariel,((B403+1)^(1/NbEchAn))-1,B403/NbEchAn),R402)</x:f>
      </x:c>
      <x:c r="S403" s="70">
        <x:f>IF(E403&gt;0,E403,IF(D403&gt;0,IF(AND(EchFIXE,R403&gt;0),ROUND((L403-C403)*R403/(1-((1+R403)^-D403)),NbDeci),ROUND(L403/D403,NbDeci)),S402))</x:f>
      </x:c>
    </x:row>
    <x:row r="404" spans="1:31" x14ac:dyDescent="0.2">
      <x:c r="B404" s="334"/>
      <x:c r="C404" s="335"/>
      <x:c r="D404" s="336"/>
      <x:c r="E404" s="337"/>
      <x:c r="F404" s="338"/>
      <x:c r="H404" s="327">
        <x:f>IF(L404=0,"",H403+1)</x:f>
      </x:c>
      <x:c r="I404" s="328">
        <x:f>IF(L404&gt;0,NbEch+Différé+1-H404,"")</x:f>
      </x:c>
      <x:c r="J404" s="339">
        <x:f>IF(ISNUMBER(K404),YEAR(K404),"")</x:f>
      </x:c>
      <x:c r="K404" s="340">
        <x:f>IF(L404=0,"",IF(Ijour=0,MIN(DATE(YEAR(DebAmort),MONTH(DebAmort)+MoisD+(H404-1)*Imois,Jour2),DATE(YEAR(DebAmort),MONTH(DebAmort)+MoisD+1+(H404-1)*Imois,0)),DATE(YEAR(DebAmort),MONTH(DebAmort),Jour1+(H404-1)*Ijour)))</x:f>
      </x:c>
      <x:c r="L404" s="341">
        <x:f>L403-N403</x:f>
      </x:c>
      <x:c r="M404" s="331">
        <x:f>IF(H404&lt;=NoEchMaxi,ROUND(L404*R404,NbDeci),0)</x:f>
      </x:c>
      <x:c r="N404" s="330">
        <x:f>IF(OR(H404&lt;=Différé,H404&gt;NoEchMaxi),IF(DiffTotal,-M404,0),IF(H404&gt;=NoEchRemb,L404,IF(S404-(M404*EchFIXE)&gt;L404-2,L404,S404-(M404*EchFIXE))))+C404</x:f>
      </x:c>
      <x:c r="O404" s="332">
        <x:f>IF(OR(L404=0,H404&gt;NoEchMaxi),0,ROUND(FraisF+FraisV*L404,NbDeci))+F404</x:f>
      </x:c>
      <x:c r="P404" s="342">
        <x:f>SUM(M404:O404)</x:f>
      </x:c>
      <x:c r="Q404" s="0"/>
      <x:c r="R404" s="71">
        <x:f>IF(B404&gt;0,IF(TauxActuariel,((B404+1)^(1/NbEchAn))-1,B404/NbEchAn),R403)</x:f>
      </x:c>
      <x:c r="S404" s="70">
        <x:f>IF(E404&gt;0,E404,IF(D404&gt;0,IF(AND(EchFIXE,R404&gt;0),ROUND((L404-C404)*R404/(1-((1+R404)^-D404)),NbDeci),ROUND(L404/D404,NbDeci)),S403))</x:f>
      </x:c>
    </x:row>
    <x:row r="405" spans="1:31" x14ac:dyDescent="0.2">
      <x:c r="B405" s="334"/>
      <x:c r="C405" s="335"/>
      <x:c r="D405" s="336"/>
      <x:c r="E405" s="337"/>
      <x:c r="F405" s="338"/>
      <x:c r="H405" s="327">
        <x:f>IF(L405=0,"",H404+1)</x:f>
      </x:c>
      <x:c r="I405" s="328">
        <x:f>IF(L405&gt;0,NbEch+Différé+1-H405,"")</x:f>
      </x:c>
      <x:c r="J405" s="339">
        <x:f>IF(ISNUMBER(K405),YEAR(K405),"")</x:f>
      </x:c>
      <x:c r="K405" s="340">
        <x:f>IF(L405=0,"",IF(Ijour=0,MIN(DATE(YEAR(DebAmort),MONTH(DebAmort)+(H405-1)*Imois,Jour1),DATE(YEAR(DebAmort),MONTH(DebAmort)+1+(H405-1)*Imois,0)),DATE(YEAR(DebAmort),MONTH(DebAmort),Jour1+(H405-1)*Ijour)))</x:f>
      </x:c>
      <x:c r="L405" s="341">
        <x:f>L404-N404</x:f>
      </x:c>
      <x:c r="M405" s="331">
        <x:f>IF(H405&lt;=NoEchMaxi,ROUND(L405*R405,NbDeci),0)</x:f>
      </x:c>
      <x:c r="N405" s="330">
        <x:f>IF(OR(H405&lt;=Différé,H405&gt;NoEchMaxi),IF(DiffTotal,-M405,0),IF(H405&gt;=NoEchRemb,L405,IF(S405-(M405*EchFIXE)&gt;L405-2,L405,S405-(M405*EchFIXE))))+C405</x:f>
      </x:c>
      <x:c r="O405" s="332">
        <x:f>IF(OR(L405=0,H405&gt;NoEchMaxi),0,ROUND(FraisF+FraisV*L405,NbDeci))+F405</x:f>
      </x:c>
      <x:c r="P405" s="342">
        <x:f>SUM(M405:O405)</x:f>
      </x:c>
      <x:c r="Q405" s="0"/>
      <x:c r="R405" s="71">
        <x:f>IF(B405&gt;0,IF(TauxActuariel,((B405+1)^(1/NbEchAn))-1,B405/NbEchAn),R404)</x:f>
      </x:c>
      <x:c r="S405" s="70">
        <x:f>IF(E405&gt;0,E405,IF(D405&gt;0,IF(AND(EchFIXE,R405&gt;0),ROUND((L405-C405)*R405/(1-((1+R405)^-D405)),NbDeci),ROUND(L405/D405,NbDeci)),S404))</x:f>
      </x:c>
    </x:row>
    <x:row r="406" spans="1:31" x14ac:dyDescent="0.2">
      <x:c r="B406" s="334"/>
      <x:c r="C406" s="335"/>
      <x:c r="D406" s="336"/>
      <x:c r="E406" s="337"/>
      <x:c r="F406" s="338"/>
      <x:c r="H406" s="327">
        <x:f>IF(L406=0,"",H405+1)</x:f>
      </x:c>
      <x:c r="I406" s="328">
        <x:f>IF(L406&gt;0,NbEch+Différé+1-H406,"")</x:f>
      </x:c>
      <x:c r="J406" s="339">
        <x:f>IF(ISNUMBER(K406),YEAR(K406),"")</x:f>
      </x:c>
      <x:c r="K406" s="340">
        <x:f>IF(L406=0,"",IF(Ijour=0,MIN(DATE(YEAR(DebAmort),MONTH(DebAmort)+MoisD+(H406-1)*Imois,Jour2),DATE(YEAR(DebAmort),MONTH(DebAmort)+MoisD+1+(H406-1)*Imois,0)),DATE(YEAR(DebAmort),MONTH(DebAmort),Jour1+(H406-1)*Ijour)))</x:f>
      </x:c>
      <x:c r="L406" s="341">
        <x:f>L405-N405</x:f>
      </x:c>
      <x:c r="M406" s="331">
        <x:f>IF(H406&lt;=NoEchMaxi,ROUND(L406*R406,NbDeci),0)</x:f>
      </x:c>
      <x:c r="N406" s="330">
        <x:f>IF(OR(H406&lt;=Différé,H406&gt;NoEchMaxi),IF(DiffTotal,-M406,0),IF(H406&gt;=NoEchRemb,L406,IF(S406-(M406*EchFIXE)&gt;L406-2,L406,S406-(M406*EchFIXE))))+C406</x:f>
      </x:c>
      <x:c r="O406" s="332">
        <x:f>IF(OR(L406=0,H406&gt;NoEchMaxi),0,ROUND(FraisF+FraisV*L406,NbDeci))+F406</x:f>
      </x:c>
      <x:c r="P406" s="342">
        <x:f>SUM(M406:O406)</x:f>
      </x:c>
      <x:c r="Q406" s="0"/>
      <x:c r="R406" s="71">
        <x:f>IF(B406&gt;0,IF(TauxActuariel,((B406+1)^(1/NbEchAn))-1,B406/NbEchAn),R405)</x:f>
      </x:c>
      <x:c r="S406" s="70">
        <x:f>IF(E406&gt;0,E406,IF(D406&gt;0,IF(AND(EchFIXE,R406&gt;0),ROUND((L406-C406)*R406/(1-((1+R406)^-D406)),NbDeci),ROUND(L406/D406,NbDeci)),S405))</x:f>
      </x:c>
    </x:row>
    <x:row r="407" spans="1:31" x14ac:dyDescent="0.2">
      <x:c r="B407" s="334"/>
      <x:c r="C407" s="335"/>
      <x:c r="D407" s="336"/>
      <x:c r="E407" s="337"/>
      <x:c r="F407" s="338"/>
      <x:c r="H407" s="327">
        <x:f>IF(L407=0,"",H406+1)</x:f>
      </x:c>
      <x:c r="I407" s="328">
        <x:f>IF(L407&gt;0,NbEch+Différé+1-H407,"")</x:f>
      </x:c>
      <x:c r="J407" s="339">
        <x:f>IF(ISNUMBER(K407),YEAR(K407),"")</x:f>
      </x:c>
      <x:c r="K407" s="340">
        <x:f>IF(L407=0,"",IF(Ijour=0,MIN(DATE(YEAR(DebAmort),MONTH(DebAmort)+(H407-1)*Imois,Jour1),DATE(YEAR(DebAmort),MONTH(DebAmort)+1+(H407-1)*Imois,0)),DATE(YEAR(DebAmort),MONTH(DebAmort),Jour1+(H407-1)*Ijour)))</x:f>
      </x:c>
      <x:c r="L407" s="341">
        <x:f>L406-N406</x:f>
      </x:c>
      <x:c r="M407" s="331">
        <x:f>IF(H407&lt;=NoEchMaxi,ROUND(L407*R407,NbDeci),0)</x:f>
      </x:c>
      <x:c r="N407" s="330">
        <x:f>IF(OR(H407&lt;=Différé,H407&gt;NoEchMaxi),IF(DiffTotal,-M407,0),IF(H407&gt;=NoEchRemb,L407,IF(S407-(M407*EchFIXE)&gt;L407-2,L407,S407-(M407*EchFIXE))))+C407</x:f>
      </x:c>
      <x:c r="O407" s="332">
        <x:f>IF(OR(L407=0,H407&gt;NoEchMaxi),0,ROUND(FraisF+FraisV*L407,NbDeci))+F407</x:f>
      </x:c>
      <x:c r="P407" s="342">
        <x:f>SUM(M407:O407)</x:f>
      </x:c>
      <x:c r="Q407" s="0"/>
      <x:c r="R407" s="71">
        <x:f>IF(B407&gt;0,IF(TauxActuariel,((B407+1)^(1/NbEchAn))-1,B407/NbEchAn),R406)</x:f>
      </x:c>
      <x:c r="S407" s="70">
        <x:f>IF(E407&gt;0,E407,IF(D407&gt;0,IF(AND(EchFIXE,R407&gt;0),ROUND((L407-C407)*R407/(1-((1+R407)^-D407)),NbDeci),ROUND(L407/D407,NbDeci)),S406))</x:f>
      </x:c>
    </x:row>
    <x:row r="408" spans="1:31" x14ac:dyDescent="0.2">
      <x:c r="B408" s="334"/>
      <x:c r="C408" s="335"/>
      <x:c r="D408" s="336"/>
      <x:c r="E408" s="337"/>
      <x:c r="F408" s="338"/>
      <x:c r="H408" s="327">
        <x:f>IF(L408=0,"",H407+1)</x:f>
      </x:c>
      <x:c r="I408" s="328">
        <x:f>IF(L408&gt;0,NbEch+Différé+1-H408,"")</x:f>
      </x:c>
      <x:c r="J408" s="339">
        <x:f>IF(ISNUMBER(K408),YEAR(K408),"")</x:f>
      </x:c>
      <x:c r="K408" s="340">
        <x:f>IF(L408=0,"",IF(Ijour=0,MIN(DATE(YEAR(DebAmort),MONTH(DebAmort)+MoisD+(H408-1)*Imois,Jour2),DATE(YEAR(DebAmort),MONTH(DebAmort)+MoisD+1+(H408-1)*Imois,0)),DATE(YEAR(DebAmort),MONTH(DebAmort),Jour1+(H408-1)*Ijour)))</x:f>
      </x:c>
      <x:c r="L408" s="341">
        <x:f>L407-N407</x:f>
      </x:c>
      <x:c r="M408" s="331">
        <x:f>IF(H408&lt;=NoEchMaxi,ROUND(L408*R408,NbDeci),0)</x:f>
      </x:c>
      <x:c r="N408" s="330">
        <x:f>IF(OR(H408&lt;=Différé,H408&gt;NoEchMaxi),IF(DiffTotal,-M408,0),IF(H408&gt;=NoEchRemb,L408,IF(S408-(M408*EchFIXE)&gt;L408-2,L408,S408-(M408*EchFIXE))))+C408</x:f>
      </x:c>
      <x:c r="O408" s="332">
        <x:f>IF(OR(L408=0,H408&gt;NoEchMaxi),0,ROUND(FraisF+FraisV*L408,NbDeci))+F408</x:f>
      </x:c>
      <x:c r="P408" s="342">
        <x:f>SUM(M408:O408)</x:f>
      </x:c>
      <x:c r="Q408" s="0"/>
      <x:c r="R408" s="71">
        <x:f>IF(B408&gt;0,IF(TauxActuariel,((B408+1)^(1/NbEchAn))-1,B408/NbEchAn),R407)</x:f>
      </x:c>
      <x:c r="S408" s="70">
        <x:f>IF(E408&gt;0,E408,IF(D408&gt;0,IF(AND(EchFIXE,R408&gt;0),ROUND((L408-C408)*R408/(1-((1+R408)^-D408)),NbDeci),ROUND(L408/D408,NbDeci)),S407))</x:f>
      </x:c>
    </x:row>
    <x:row r="409" spans="1:31" x14ac:dyDescent="0.2">
      <x:c r="B409" s="334"/>
      <x:c r="C409" s="335"/>
      <x:c r="D409" s="336"/>
      <x:c r="E409" s="337"/>
      <x:c r="F409" s="338"/>
      <x:c r="H409" s="327">
        <x:f>IF(L409=0,"",H408+1)</x:f>
      </x:c>
      <x:c r="I409" s="328">
        <x:f>IF(L409&gt;0,NbEch+Différé+1-H409,"")</x:f>
      </x:c>
      <x:c r="J409" s="339">
        <x:f>IF(ISNUMBER(K409),YEAR(K409),"")</x:f>
      </x:c>
      <x:c r="K409" s="340">
        <x:f>IF(L409=0,"",IF(Ijour=0,MIN(DATE(YEAR(DebAmort),MONTH(DebAmort)+(H409-1)*Imois,Jour1),DATE(YEAR(DebAmort),MONTH(DebAmort)+1+(H409-1)*Imois,0)),DATE(YEAR(DebAmort),MONTH(DebAmort),Jour1+(H409-1)*Ijour)))</x:f>
      </x:c>
      <x:c r="L409" s="341">
        <x:f>L408-N408</x:f>
      </x:c>
      <x:c r="M409" s="331">
        <x:f>IF(H409&lt;=NoEchMaxi,ROUND(L409*R409,NbDeci),0)</x:f>
      </x:c>
      <x:c r="N409" s="330">
        <x:f>IF(OR(H409&lt;=Différé,H409&gt;NoEchMaxi),IF(DiffTotal,-M409,0),IF(H409&gt;=NoEchRemb,L409,IF(S409-(M409*EchFIXE)&gt;L409-2,L409,S409-(M409*EchFIXE))))+C409</x:f>
      </x:c>
      <x:c r="O409" s="332">
        <x:f>IF(OR(L409=0,H409&gt;NoEchMaxi),0,ROUND(FraisF+FraisV*L409,NbDeci))+F409</x:f>
      </x:c>
      <x:c r="P409" s="342">
        <x:f>SUM(M409:O409)</x:f>
      </x:c>
      <x:c r="Q409" s="0"/>
      <x:c r="R409" s="71">
        <x:f>IF(B409&gt;0,IF(TauxActuariel,((B409+1)^(1/NbEchAn))-1,B409/NbEchAn),R408)</x:f>
      </x:c>
      <x:c r="S409" s="70">
        <x:f>IF(E409&gt;0,E409,IF(D409&gt;0,IF(AND(EchFIXE,R409&gt;0),ROUND((L409-C409)*R409/(1-((1+R409)^-D409)),NbDeci),ROUND(L409/D409,NbDeci)),S408))</x:f>
      </x:c>
    </x:row>
    <x:row r="410" spans="1:31" x14ac:dyDescent="0.2">
      <x:c r="B410" s="334"/>
      <x:c r="C410" s="335"/>
      <x:c r="D410" s="336"/>
      <x:c r="E410" s="337"/>
      <x:c r="F410" s="338"/>
      <x:c r="H410" s="327">
        <x:f>IF(L410=0,"",H409+1)</x:f>
      </x:c>
      <x:c r="I410" s="328">
        <x:f>IF(L410&gt;0,NbEch+Différé+1-H410,"")</x:f>
      </x:c>
      <x:c r="J410" s="339">
        <x:f>IF(ISNUMBER(K410),YEAR(K410),"")</x:f>
      </x:c>
      <x:c r="K410" s="340">
        <x:f>IF(L410=0,"",IF(Ijour=0,MIN(DATE(YEAR(DebAmort),MONTH(DebAmort)+MoisD+(H410-1)*Imois,Jour2),DATE(YEAR(DebAmort),MONTH(DebAmort)+MoisD+1+(H410-1)*Imois,0)),DATE(YEAR(DebAmort),MONTH(DebAmort),Jour1+(H410-1)*Ijour)))</x:f>
      </x:c>
      <x:c r="L410" s="341">
        <x:f>L409-N409</x:f>
      </x:c>
      <x:c r="M410" s="331">
        <x:f>IF(H410&lt;=NoEchMaxi,ROUND(L410*R410,NbDeci),0)</x:f>
      </x:c>
      <x:c r="N410" s="330">
        <x:f>IF(OR(H410&lt;=Différé,H410&gt;NoEchMaxi),IF(DiffTotal,-M410,0),IF(H410&gt;=NoEchRemb,L410,IF(S410-(M410*EchFIXE)&gt;L410-2,L410,S410-(M410*EchFIXE))))+C410</x:f>
      </x:c>
      <x:c r="O410" s="332">
        <x:f>IF(OR(L410=0,H410&gt;NoEchMaxi),0,ROUND(FraisF+FraisV*L410,NbDeci))+F410</x:f>
      </x:c>
      <x:c r="P410" s="342">
        <x:f>SUM(M410:O410)</x:f>
      </x:c>
      <x:c r="Q410" s="0"/>
      <x:c r="R410" s="71">
        <x:f>IF(B410&gt;0,IF(TauxActuariel,((B410+1)^(1/NbEchAn))-1,B410/NbEchAn),R409)</x:f>
      </x:c>
      <x:c r="S410" s="70">
        <x:f>IF(E410&gt;0,E410,IF(D410&gt;0,IF(AND(EchFIXE,R410&gt;0),ROUND((L410-C410)*R410/(1-((1+R410)^-D410)),NbDeci),ROUND(L410/D410,NbDeci)),S409))</x:f>
      </x:c>
    </x:row>
    <x:row r="411" spans="1:31" x14ac:dyDescent="0.2">
      <x:c r="B411" s="334"/>
      <x:c r="C411" s="335"/>
      <x:c r="D411" s="336"/>
      <x:c r="E411" s="337"/>
      <x:c r="F411" s="338"/>
      <x:c r="H411" s="327">
        <x:f>IF(L411=0,"",H410+1)</x:f>
      </x:c>
      <x:c r="I411" s="328">
        <x:f>IF(L411&gt;0,NbEch+Différé+1-H411,"")</x:f>
      </x:c>
      <x:c r="J411" s="339">
        <x:f>IF(ISNUMBER(K411),YEAR(K411),"")</x:f>
      </x:c>
      <x:c r="K411" s="340">
        <x:f>IF(L411=0,"",IF(Ijour=0,MIN(DATE(YEAR(DebAmort),MONTH(DebAmort)+(H411-1)*Imois,Jour1),DATE(YEAR(DebAmort),MONTH(DebAmort)+1+(H411-1)*Imois,0)),DATE(YEAR(DebAmort),MONTH(DebAmort),Jour1+(H411-1)*Ijour)))</x:f>
      </x:c>
      <x:c r="L411" s="341">
        <x:f>L410-N410</x:f>
      </x:c>
      <x:c r="M411" s="331">
        <x:f>IF(H411&lt;=NoEchMaxi,ROUND(L411*R411,NbDeci),0)</x:f>
      </x:c>
      <x:c r="N411" s="330">
        <x:f>IF(OR(H411&lt;=Différé,H411&gt;NoEchMaxi),IF(DiffTotal,-M411,0),IF(H411&gt;=NoEchRemb,L411,IF(S411-(M411*EchFIXE)&gt;L411-2,L411,S411-(M411*EchFIXE))))+C411</x:f>
      </x:c>
      <x:c r="O411" s="332">
        <x:f>IF(OR(L411=0,H411&gt;NoEchMaxi),0,ROUND(FraisF+FraisV*L411,NbDeci))+F411</x:f>
      </x:c>
      <x:c r="P411" s="342">
        <x:f>SUM(M411:O411)</x:f>
      </x:c>
      <x:c r="Q411" s="0"/>
      <x:c r="R411" s="71">
        <x:f>IF(B411&gt;0,IF(TauxActuariel,((B411+1)^(1/NbEchAn))-1,B411/NbEchAn),R410)</x:f>
      </x:c>
      <x:c r="S411" s="70">
        <x:f>IF(E411&gt;0,E411,IF(D411&gt;0,IF(AND(EchFIXE,R411&gt;0),ROUND((L411-C411)*R411/(1-((1+R411)^-D411)),NbDeci),ROUND(L411/D411,NbDeci)),S410))</x:f>
      </x:c>
    </x:row>
    <x:row r="412" spans="1:31" x14ac:dyDescent="0.2">
      <x:c r="B412" s="334"/>
      <x:c r="C412" s="335"/>
      <x:c r="D412" s="336"/>
      <x:c r="E412" s="337"/>
      <x:c r="F412" s="338"/>
      <x:c r="H412" s="327">
        <x:f>IF(L412=0,"",H411+1)</x:f>
      </x:c>
      <x:c r="I412" s="328">
        <x:f>IF(L412&gt;0,NbEch+Différé+1-H412,"")</x:f>
      </x:c>
      <x:c r="J412" s="339">
        <x:f>IF(ISNUMBER(K412),YEAR(K412),"")</x:f>
      </x:c>
      <x:c r="K412" s="340">
        <x:f>IF(L412=0,"",IF(Ijour=0,MIN(DATE(YEAR(DebAmort),MONTH(DebAmort)+MoisD+(H412-1)*Imois,Jour2),DATE(YEAR(DebAmort),MONTH(DebAmort)+MoisD+1+(H412-1)*Imois,0)),DATE(YEAR(DebAmort),MONTH(DebAmort),Jour1+(H412-1)*Ijour)))</x:f>
      </x:c>
      <x:c r="L412" s="341">
        <x:f>L411-N411</x:f>
      </x:c>
      <x:c r="M412" s="331">
        <x:f>IF(H412&lt;=NoEchMaxi,ROUND(L412*R412,NbDeci),0)</x:f>
      </x:c>
      <x:c r="N412" s="330">
        <x:f>IF(OR(H412&lt;=Différé,H412&gt;NoEchMaxi),IF(DiffTotal,-M412,0),IF(H412&gt;=NoEchRemb,L412,IF(S412-(M412*EchFIXE)&gt;L412-2,L412,S412-(M412*EchFIXE))))+C412</x:f>
      </x:c>
      <x:c r="O412" s="332">
        <x:f>IF(OR(L412=0,H412&gt;NoEchMaxi),0,ROUND(FraisF+FraisV*L412,NbDeci))+F412</x:f>
      </x:c>
      <x:c r="P412" s="342">
        <x:f>SUM(M412:O412)</x:f>
      </x:c>
      <x:c r="Q412" s="0"/>
      <x:c r="R412" s="71">
        <x:f>IF(B412&gt;0,IF(TauxActuariel,((B412+1)^(1/NbEchAn))-1,B412/NbEchAn),R411)</x:f>
      </x:c>
      <x:c r="S412" s="70">
        <x:f>IF(E412&gt;0,E412,IF(D412&gt;0,IF(AND(EchFIXE,R412&gt;0),ROUND((L412-C412)*R412/(1-((1+R412)^-D412)),NbDeci),ROUND(L412/D412,NbDeci)),S411))</x:f>
      </x:c>
    </x:row>
    <x:row r="413" spans="1:31" x14ac:dyDescent="0.2">
      <x:c r="B413" s="334"/>
      <x:c r="C413" s="335"/>
      <x:c r="D413" s="336"/>
      <x:c r="E413" s="337"/>
      <x:c r="F413" s="338"/>
      <x:c r="H413" s="327">
        <x:f>IF(L413=0,"",H412+1)</x:f>
      </x:c>
      <x:c r="I413" s="328">
        <x:f>IF(L413&gt;0,NbEch+Différé+1-H413,"")</x:f>
      </x:c>
      <x:c r="J413" s="339">
        <x:f>IF(ISNUMBER(K413),YEAR(K413),"")</x:f>
      </x:c>
      <x:c r="K413" s="340">
        <x:f>IF(L413=0,"",IF(Ijour=0,MIN(DATE(YEAR(DebAmort),MONTH(DebAmort)+(H413-1)*Imois,Jour1),DATE(YEAR(DebAmort),MONTH(DebAmort)+1+(H413-1)*Imois,0)),DATE(YEAR(DebAmort),MONTH(DebAmort),Jour1+(H413-1)*Ijour)))</x:f>
      </x:c>
      <x:c r="L413" s="341">
        <x:f>L412-N412</x:f>
      </x:c>
      <x:c r="M413" s="331">
        <x:f>IF(H413&lt;=NoEchMaxi,ROUND(L413*R413,NbDeci),0)</x:f>
      </x:c>
      <x:c r="N413" s="330">
        <x:f>IF(OR(H413&lt;=Différé,H413&gt;NoEchMaxi),IF(DiffTotal,-M413,0),IF(H413&gt;=NoEchRemb,L413,IF(S413-(M413*EchFIXE)&gt;L413-2,L413,S413-(M413*EchFIXE))))+C413</x:f>
      </x:c>
      <x:c r="O413" s="332">
        <x:f>IF(OR(L413=0,H413&gt;NoEchMaxi),0,ROUND(FraisF+FraisV*L413,NbDeci))+F413</x:f>
      </x:c>
      <x:c r="P413" s="342">
        <x:f>SUM(M413:O413)</x:f>
      </x:c>
      <x:c r="Q413" s="0"/>
      <x:c r="R413" s="71">
        <x:f>IF(B413&gt;0,IF(TauxActuariel,((B413+1)^(1/NbEchAn))-1,B413/NbEchAn),R412)</x:f>
      </x:c>
      <x:c r="S413" s="70">
        <x:f>IF(E413&gt;0,E413,IF(D413&gt;0,IF(AND(EchFIXE,R413&gt;0),ROUND((L413-C413)*R413/(1-((1+R413)^-D413)),NbDeci),ROUND(L413/D413,NbDeci)),S412))</x:f>
      </x:c>
    </x:row>
    <x:row r="414" spans="1:31" x14ac:dyDescent="0.2">
      <x:c r="B414" s="334"/>
      <x:c r="C414" s="335"/>
      <x:c r="D414" s="336"/>
      <x:c r="E414" s="337"/>
      <x:c r="F414" s="338"/>
      <x:c r="H414" s="327">
        <x:f>IF(L414=0,"",H413+1)</x:f>
      </x:c>
      <x:c r="I414" s="328">
        <x:f>IF(L414&gt;0,NbEch+Différé+1-H414,"")</x:f>
      </x:c>
      <x:c r="J414" s="339">
        <x:f>IF(ISNUMBER(K414),YEAR(K414),"")</x:f>
      </x:c>
      <x:c r="K414" s="340">
        <x:f>IF(L414=0,"",IF(Ijour=0,MIN(DATE(YEAR(DebAmort),MONTH(DebAmort)+MoisD+(H414-1)*Imois,Jour2),DATE(YEAR(DebAmort),MONTH(DebAmort)+MoisD+1+(H414-1)*Imois,0)),DATE(YEAR(DebAmort),MONTH(DebAmort),Jour1+(H414-1)*Ijour)))</x:f>
      </x:c>
      <x:c r="L414" s="341">
        <x:f>L413-N413</x:f>
      </x:c>
      <x:c r="M414" s="331">
        <x:f>IF(H414&lt;=NoEchMaxi,ROUND(L414*R414,NbDeci),0)</x:f>
      </x:c>
      <x:c r="N414" s="330">
        <x:f>IF(OR(H414&lt;=Différé,H414&gt;NoEchMaxi),IF(DiffTotal,-M414,0),IF(H414&gt;=NoEchRemb,L414,IF(S414-(M414*EchFIXE)&gt;L414-2,L414,S414-(M414*EchFIXE))))+C414</x:f>
      </x:c>
      <x:c r="O414" s="332">
        <x:f>IF(OR(L414=0,H414&gt;NoEchMaxi),0,ROUND(FraisF+FraisV*L414,NbDeci))+F414</x:f>
      </x:c>
      <x:c r="P414" s="342">
        <x:f>SUM(M414:O414)</x:f>
      </x:c>
      <x:c r="Q414" s="0"/>
      <x:c r="R414" s="71">
        <x:f>IF(B414&gt;0,IF(TauxActuariel,((B414+1)^(1/NbEchAn))-1,B414/NbEchAn),R413)</x:f>
      </x:c>
      <x:c r="S414" s="70">
        <x:f>IF(E414&gt;0,E414,IF(D414&gt;0,IF(AND(EchFIXE,R414&gt;0),ROUND((L414-C414)*R414/(1-((1+R414)^-D414)),NbDeci),ROUND(L414/D414,NbDeci)),S413))</x:f>
      </x:c>
    </x:row>
    <x:row r="415" spans="1:31" x14ac:dyDescent="0.2">
      <x:c r="B415" s="334"/>
      <x:c r="C415" s="335"/>
      <x:c r="D415" s="336"/>
      <x:c r="E415" s="337"/>
      <x:c r="F415" s="338"/>
      <x:c r="H415" s="327">
        <x:f>IF(L415=0,"",H414+1)</x:f>
      </x:c>
      <x:c r="I415" s="328">
        <x:f>IF(L415&gt;0,NbEch+Différé+1-H415,"")</x:f>
      </x:c>
      <x:c r="J415" s="339">
        <x:f>IF(ISNUMBER(K415),YEAR(K415),"")</x:f>
      </x:c>
      <x:c r="K415" s="340">
        <x:f>IF(L415=0,"",IF(Ijour=0,MIN(DATE(YEAR(DebAmort),MONTH(DebAmort)+(H415-1)*Imois,Jour1),DATE(YEAR(DebAmort),MONTH(DebAmort)+1+(H415-1)*Imois,0)),DATE(YEAR(DebAmort),MONTH(DebAmort),Jour1+(H415-1)*Ijour)))</x:f>
      </x:c>
      <x:c r="L415" s="341">
        <x:f>L414-N414</x:f>
      </x:c>
      <x:c r="M415" s="331">
        <x:f>IF(H415&lt;=NoEchMaxi,ROUND(L415*R415,NbDeci),0)</x:f>
      </x:c>
      <x:c r="N415" s="330">
        <x:f>IF(OR(H415&lt;=Différé,H415&gt;NoEchMaxi),IF(DiffTotal,-M415,0),IF(H415&gt;=NoEchRemb,L415,IF(S415-(M415*EchFIXE)&gt;L415-2,L415,S415-(M415*EchFIXE))))+C415</x:f>
      </x:c>
      <x:c r="O415" s="332">
        <x:f>IF(OR(L415=0,H415&gt;NoEchMaxi),0,ROUND(FraisF+FraisV*L415,NbDeci))+F415</x:f>
      </x:c>
      <x:c r="P415" s="342">
        <x:f>SUM(M415:O415)</x:f>
      </x:c>
      <x:c r="Q415" s="0"/>
      <x:c r="R415" s="71">
        <x:f>IF(B415&gt;0,IF(TauxActuariel,((B415+1)^(1/NbEchAn))-1,B415/NbEchAn),R414)</x:f>
      </x:c>
      <x:c r="S415" s="70">
        <x:f>IF(E415&gt;0,E415,IF(D415&gt;0,IF(AND(EchFIXE,R415&gt;0),ROUND((L415-C415)*R415/(1-((1+R415)^-D415)),NbDeci),ROUND(L415/D415,NbDeci)),S414))</x:f>
      </x:c>
    </x:row>
    <x:row r="416" spans="1:31" x14ac:dyDescent="0.2">
      <x:c r="B416" s="334"/>
      <x:c r="C416" s="335"/>
      <x:c r="D416" s="336"/>
      <x:c r="E416" s="337"/>
      <x:c r="F416" s="338"/>
      <x:c r="H416" s="327">
        <x:f>IF(L416=0,"",H415+1)</x:f>
      </x:c>
      <x:c r="I416" s="328">
        <x:f>IF(L416&gt;0,NbEch+Différé+1-H416,"")</x:f>
      </x:c>
      <x:c r="J416" s="339">
        <x:f>IF(ISNUMBER(K416),YEAR(K416),"")</x:f>
      </x:c>
      <x:c r="K416" s="340">
        <x:f>IF(L416=0,"",IF(Ijour=0,MIN(DATE(YEAR(DebAmort),MONTH(DebAmort)+MoisD+(H416-1)*Imois,Jour2),DATE(YEAR(DebAmort),MONTH(DebAmort)+MoisD+1+(H416-1)*Imois,0)),DATE(YEAR(DebAmort),MONTH(DebAmort),Jour1+(H416-1)*Ijour)))</x:f>
      </x:c>
      <x:c r="L416" s="341">
        <x:f>L415-N415</x:f>
      </x:c>
      <x:c r="M416" s="331">
        <x:f>IF(H416&lt;=NoEchMaxi,ROUND(L416*R416,NbDeci),0)</x:f>
      </x:c>
      <x:c r="N416" s="330">
        <x:f>IF(OR(H416&lt;=Différé,H416&gt;NoEchMaxi),IF(DiffTotal,-M416,0),IF(H416&gt;=NoEchRemb,L416,IF(S416-(M416*EchFIXE)&gt;L416-2,L416,S416-(M416*EchFIXE))))+C416</x:f>
      </x:c>
      <x:c r="O416" s="332">
        <x:f>IF(OR(L416=0,H416&gt;NoEchMaxi),0,ROUND(FraisF+FraisV*L416,NbDeci))+F416</x:f>
      </x:c>
      <x:c r="P416" s="342">
        <x:f>SUM(M416:O416)</x:f>
      </x:c>
      <x:c r="Q416" s="0"/>
      <x:c r="R416" s="71">
        <x:f>IF(B416&gt;0,IF(TauxActuariel,((B416+1)^(1/NbEchAn))-1,B416/NbEchAn),R415)</x:f>
      </x:c>
      <x:c r="S416" s="70">
        <x:f>IF(E416&gt;0,E416,IF(D416&gt;0,IF(AND(EchFIXE,R416&gt;0),ROUND((L416-C416)*R416/(1-((1+R416)^-D416)),NbDeci),ROUND(L416/D416,NbDeci)),S415))</x:f>
      </x:c>
    </x:row>
    <x:row r="417" spans="1:31" x14ac:dyDescent="0.2">
      <x:c r="B417" s="334"/>
      <x:c r="C417" s="335"/>
      <x:c r="D417" s="336"/>
      <x:c r="E417" s="337"/>
      <x:c r="F417" s="338"/>
      <x:c r="H417" s="327">
        <x:f>IF(L417=0,"",H416+1)</x:f>
      </x:c>
      <x:c r="I417" s="328">
        <x:f>IF(L417&gt;0,NbEch+Différé+1-H417,"")</x:f>
      </x:c>
      <x:c r="J417" s="339">
        <x:f>IF(ISNUMBER(K417),YEAR(K417),"")</x:f>
      </x:c>
      <x:c r="K417" s="340">
        <x:f>IF(L417=0,"",IF(Ijour=0,MIN(DATE(YEAR(DebAmort),MONTH(DebAmort)+(H417-1)*Imois,Jour1),DATE(YEAR(DebAmort),MONTH(DebAmort)+1+(H417-1)*Imois,0)),DATE(YEAR(DebAmort),MONTH(DebAmort),Jour1+(H417-1)*Ijour)))</x:f>
      </x:c>
      <x:c r="L417" s="341">
        <x:f>L416-N416</x:f>
      </x:c>
      <x:c r="M417" s="331">
        <x:f>IF(H417&lt;=NoEchMaxi,ROUND(L417*R417,NbDeci),0)</x:f>
      </x:c>
      <x:c r="N417" s="330">
        <x:f>IF(OR(H417&lt;=Différé,H417&gt;NoEchMaxi),IF(DiffTotal,-M417,0),IF(H417&gt;=NoEchRemb,L417,IF(S417-(M417*EchFIXE)&gt;L417-2,L417,S417-(M417*EchFIXE))))+C417</x:f>
      </x:c>
      <x:c r="O417" s="332">
        <x:f>IF(OR(L417=0,H417&gt;NoEchMaxi),0,ROUND(FraisF+FraisV*L417,NbDeci))+F417</x:f>
      </x:c>
      <x:c r="P417" s="342">
        <x:f>SUM(M417:O417)</x:f>
      </x:c>
      <x:c r="Q417" s="0"/>
      <x:c r="R417" s="71">
        <x:f>IF(B417&gt;0,IF(TauxActuariel,((B417+1)^(1/NbEchAn))-1,B417/NbEchAn),R416)</x:f>
      </x:c>
      <x:c r="S417" s="70">
        <x:f>IF(E417&gt;0,E417,IF(D417&gt;0,IF(AND(EchFIXE,R417&gt;0),ROUND((L417-C417)*R417/(1-((1+R417)^-D417)),NbDeci),ROUND(L417/D417,NbDeci)),S416))</x:f>
      </x:c>
    </x:row>
    <x:row r="418" spans="1:31" x14ac:dyDescent="0.2">
      <x:c r="B418" s="334"/>
      <x:c r="C418" s="335"/>
      <x:c r="D418" s="336"/>
      <x:c r="E418" s="337"/>
      <x:c r="F418" s="338"/>
      <x:c r="H418" s="327">
        <x:f>IF(L418=0,"",H417+1)</x:f>
      </x:c>
      <x:c r="I418" s="328">
        <x:f>IF(L418&gt;0,NbEch+Différé+1-H418,"")</x:f>
      </x:c>
      <x:c r="J418" s="339">
        <x:f>IF(ISNUMBER(K418),YEAR(K418),"")</x:f>
      </x:c>
      <x:c r="K418" s="340">
        <x:f>IF(L418=0,"",IF(Ijour=0,MIN(DATE(YEAR(DebAmort),MONTH(DebAmort)+MoisD+(H418-1)*Imois,Jour2),DATE(YEAR(DebAmort),MONTH(DebAmort)+MoisD+1+(H418-1)*Imois,0)),DATE(YEAR(DebAmort),MONTH(DebAmort),Jour1+(H418-1)*Ijour)))</x:f>
      </x:c>
      <x:c r="L418" s="341">
        <x:f>L417-N417</x:f>
      </x:c>
      <x:c r="M418" s="331">
        <x:f>IF(H418&lt;=NoEchMaxi,ROUND(L418*R418,NbDeci),0)</x:f>
      </x:c>
      <x:c r="N418" s="330">
        <x:f>IF(OR(H418&lt;=Différé,H418&gt;NoEchMaxi),IF(DiffTotal,-M418,0),IF(H418&gt;=NoEchRemb,L418,IF(S418-(M418*EchFIXE)&gt;L418-2,L418,S418-(M418*EchFIXE))))+C418</x:f>
      </x:c>
      <x:c r="O418" s="332">
        <x:f>IF(OR(L418=0,H418&gt;NoEchMaxi),0,ROUND(FraisF+FraisV*L418,NbDeci))+F418</x:f>
      </x:c>
      <x:c r="P418" s="342">
        <x:f>SUM(M418:O418)</x:f>
      </x:c>
      <x:c r="Q418" s="0"/>
      <x:c r="R418" s="71">
        <x:f>IF(B418&gt;0,IF(TauxActuariel,((B418+1)^(1/NbEchAn))-1,B418/NbEchAn),R417)</x:f>
      </x:c>
      <x:c r="S418" s="70">
        <x:f>IF(E418&gt;0,E418,IF(D418&gt;0,IF(AND(EchFIXE,R418&gt;0),ROUND((L418-C418)*R418/(1-((1+R418)^-D418)),NbDeci),ROUND(L418/D418,NbDeci)),S417))</x:f>
      </x:c>
    </x:row>
    <x:row r="419" spans="1:31" x14ac:dyDescent="0.2">
      <x:c r="B419" s="334"/>
      <x:c r="C419" s="335"/>
      <x:c r="D419" s="336"/>
      <x:c r="E419" s="337"/>
      <x:c r="F419" s="338"/>
      <x:c r="H419" s="327">
        <x:f>IF(L419=0,"",H418+1)</x:f>
      </x:c>
      <x:c r="I419" s="328">
        <x:f>IF(L419&gt;0,NbEch+Différé+1-H419,"")</x:f>
      </x:c>
      <x:c r="J419" s="339">
        <x:f>IF(ISNUMBER(K419),YEAR(K419),"")</x:f>
      </x:c>
      <x:c r="K419" s="340">
        <x:f>IF(L419=0,"",IF(Ijour=0,MIN(DATE(YEAR(DebAmort),MONTH(DebAmort)+(H419-1)*Imois,Jour1),DATE(YEAR(DebAmort),MONTH(DebAmort)+1+(H419-1)*Imois,0)),DATE(YEAR(DebAmort),MONTH(DebAmort),Jour1+(H419-1)*Ijour)))</x:f>
      </x:c>
      <x:c r="L419" s="341">
        <x:f>L418-N418</x:f>
      </x:c>
      <x:c r="M419" s="331">
        <x:f>IF(H419&lt;=NoEchMaxi,ROUND(L419*R419,NbDeci),0)</x:f>
      </x:c>
      <x:c r="N419" s="330">
        <x:f>IF(OR(H419&lt;=Différé,H419&gt;NoEchMaxi),IF(DiffTotal,-M419,0),IF(H419&gt;=NoEchRemb,L419,IF(S419-(M419*EchFIXE)&gt;L419-2,L419,S419-(M419*EchFIXE))))+C419</x:f>
      </x:c>
      <x:c r="O419" s="332">
        <x:f>IF(OR(L419=0,H419&gt;NoEchMaxi),0,ROUND(FraisF+FraisV*L419,NbDeci))+F419</x:f>
      </x:c>
      <x:c r="P419" s="342">
        <x:f>SUM(M419:O419)</x:f>
      </x:c>
      <x:c r="Q419" s="0"/>
      <x:c r="R419" s="71">
        <x:f>IF(B419&gt;0,IF(TauxActuariel,((B419+1)^(1/NbEchAn))-1,B419/NbEchAn),R418)</x:f>
      </x:c>
      <x:c r="S419" s="70">
        <x:f>IF(E419&gt;0,E419,IF(D419&gt;0,IF(AND(EchFIXE,R419&gt;0),ROUND((L419-C419)*R419/(1-((1+R419)^-D419)),NbDeci),ROUND(L419/D419,NbDeci)),S418))</x:f>
      </x:c>
    </x:row>
    <x:row r="420" spans="1:31" x14ac:dyDescent="0.2">
      <x:c r="B420" s="334"/>
      <x:c r="C420" s="335"/>
      <x:c r="D420" s="336"/>
      <x:c r="E420" s="337"/>
      <x:c r="F420" s="338"/>
      <x:c r="H420" s="327">
        <x:f>IF(L420=0,"",H419+1)</x:f>
      </x:c>
      <x:c r="I420" s="328">
        <x:f>IF(L420&gt;0,NbEch+Différé+1-H420,"")</x:f>
      </x:c>
      <x:c r="J420" s="339">
        <x:f>IF(ISNUMBER(K420),YEAR(K420),"")</x:f>
      </x:c>
      <x:c r="K420" s="340">
        <x:f>IF(L420=0,"",IF(Ijour=0,MIN(DATE(YEAR(DebAmort),MONTH(DebAmort)+MoisD+(H420-1)*Imois,Jour2),DATE(YEAR(DebAmort),MONTH(DebAmort)+MoisD+1+(H420-1)*Imois,0)),DATE(YEAR(DebAmort),MONTH(DebAmort),Jour1+(H420-1)*Ijour)))</x:f>
      </x:c>
      <x:c r="L420" s="341">
        <x:f>L419-N419</x:f>
      </x:c>
      <x:c r="M420" s="331">
        <x:f>IF(H420&lt;=NoEchMaxi,ROUND(L420*R420,NbDeci),0)</x:f>
      </x:c>
      <x:c r="N420" s="330">
        <x:f>IF(OR(H420&lt;=Différé,H420&gt;NoEchMaxi),IF(DiffTotal,-M420,0),IF(H420&gt;=NoEchRemb,L420,IF(S420-(M420*EchFIXE)&gt;L420-2,L420,S420-(M420*EchFIXE))))+C420</x:f>
      </x:c>
      <x:c r="O420" s="332">
        <x:f>IF(OR(L420=0,H420&gt;NoEchMaxi),0,ROUND(FraisF+FraisV*L420,NbDeci))+F420</x:f>
      </x:c>
      <x:c r="P420" s="342">
        <x:f>SUM(M420:O420)</x:f>
      </x:c>
      <x:c r="Q420" s="0"/>
      <x:c r="R420" s="71">
        <x:f>IF(B420&gt;0,IF(TauxActuariel,((B420+1)^(1/NbEchAn))-1,B420/NbEchAn),R419)</x:f>
      </x:c>
      <x:c r="S420" s="70">
        <x:f>IF(E420&gt;0,E420,IF(D420&gt;0,IF(AND(EchFIXE,R420&gt;0),ROUND((L420-C420)*R420/(1-((1+R420)^-D420)),NbDeci),ROUND(L420/D420,NbDeci)),S419))</x:f>
      </x:c>
    </x:row>
    <x:row r="421" spans="1:31" x14ac:dyDescent="0.2">
      <x:c r="B421" s="334"/>
      <x:c r="C421" s="335"/>
      <x:c r="D421" s="336"/>
      <x:c r="E421" s="337"/>
      <x:c r="F421" s="338"/>
      <x:c r="H421" s="327">
        <x:f>IF(L421=0,"",H420+1)</x:f>
      </x:c>
      <x:c r="I421" s="328">
        <x:f>IF(L421&gt;0,NbEch+Différé+1-H421,"")</x:f>
      </x:c>
      <x:c r="J421" s="339">
        <x:f>IF(ISNUMBER(K421),YEAR(K421),"")</x:f>
      </x:c>
      <x:c r="K421" s="340">
        <x:f>IF(L421=0,"",IF(Ijour=0,MIN(DATE(YEAR(DebAmort),MONTH(DebAmort)+(H421-1)*Imois,Jour1),DATE(YEAR(DebAmort),MONTH(DebAmort)+1+(H421-1)*Imois,0)),DATE(YEAR(DebAmort),MONTH(DebAmort),Jour1+(H421-1)*Ijour)))</x:f>
      </x:c>
      <x:c r="L421" s="341">
        <x:f>L420-N420</x:f>
      </x:c>
      <x:c r="M421" s="331">
        <x:f>IF(H421&lt;=NoEchMaxi,ROUND(L421*R421,NbDeci),0)</x:f>
      </x:c>
      <x:c r="N421" s="330">
        <x:f>IF(OR(H421&lt;=Différé,H421&gt;NoEchMaxi),IF(DiffTotal,-M421,0),IF(H421&gt;=NoEchRemb,L421,IF(S421-(M421*EchFIXE)&gt;L421-2,L421,S421-(M421*EchFIXE))))+C421</x:f>
      </x:c>
      <x:c r="O421" s="332">
        <x:f>IF(OR(L421=0,H421&gt;NoEchMaxi),0,ROUND(FraisF+FraisV*L421,NbDeci))+F421</x:f>
      </x:c>
      <x:c r="P421" s="342">
        <x:f>SUM(M421:O421)</x:f>
      </x:c>
      <x:c r="Q421" s="0"/>
      <x:c r="R421" s="71">
        <x:f>IF(B421&gt;0,IF(TauxActuariel,((B421+1)^(1/NbEchAn))-1,B421/NbEchAn),R420)</x:f>
      </x:c>
      <x:c r="S421" s="70">
        <x:f>IF(E421&gt;0,E421,IF(D421&gt;0,IF(AND(EchFIXE,R421&gt;0),ROUND((L421-C421)*R421/(1-((1+R421)^-D421)),NbDeci),ROUND(L421/D421,NbDeci)),S420))</x:f>
      </x:c>
    </x:row>
    <x:row r="422" spans="1:31" x14ac:dyDescent="0.2">
      <x:c r="B422" s="334"/>
      <x:c r="C422" s="335"/>
      <x:c r="D422" s="336"/>
      <x:c r="E422" s="337"/>
      <x:c r="F422" s="338"/>
      <x:c r="H422" s="327">
        <x:f>IF(L422=0,"",H421+1)</x:f>
      </x:c>
      <x:c r="I422" s="328">
        <x:f>IF(L422&gt;0,NbEch+Différé+1-H422,"")</x:f>
      </x:c>
      <x:c r="J422" s="339">
        <x:f>IF(ISNUMBER(K422),YEAR(K422),"")</x:f>
      </x:c>
      <x:c r="K422" s="340">
        <x:f>IF(L422=0,"",IF(Ijour=0,MIN(DATE(YEAR(DebAmort),MONTH(DebAmort)+MoisD+(H422-1)*Imois,Jour2),DATE(YEAR(DebAmort),MONTH(DebAmort)+MoisD+1+(H422-1)*Imois,0)),DATE(YEAR(DebAmort),MONTH(DebAmort),Jour1+(H422-1)*Ijour)))</x:f>
      </x:c>
      <x:c r="L422" s="341">
        <x:f>L421-N421</x:f>
      </x:c>
      <x:c r="M422" s="331">
        <x:f>IF(H422&lt;=NoEchMaxi,ROUND(L422*R422,NbDeci),0)</x:f>
      </x:c>
      <x:c r="N422" s="330">
        <x:f>IF(OR(H422&lt;=Différé,H422&gt;NoEchMaxi),IF(DiffTotal,-M422,0),IF(H422&gt;=NoEchRemb,L422,IF(S422-(M422*EchFIXE)&gt;L422-2,L422,S422-(M422*EchFIXE))))+C422</x:f>
      </x:c>
      <x:c r="O422" s="332">
        <x:f>IF(OR(L422=0,H422&gt;NoEchMaxi),0,ROUND(FraisF+FraisV*L422,NbDeci))+F422</x:f>
      </x:c>
      <x:c r="P422" s="342">
        <x:f>SUM(M422:O422)</x:f>
      </x:c>
      <x:c r="Q422" s="0"/>
      <x:c r="R422" s="71">
        <x:f>IF(B422&gt;0,IF(TauxActuariel,((B422+1)^(1/NbEchAn))-1,B422/NbEchAn),R421)</x:f>
      </x:c>
      <x:c r="S422" s="70">
        <x:f>IF(E422&gt;0,E422,IF(D422&gt;0,IF(AND(EchFIXE,R422&gt;0),ROUND((L422-C422)*R422/(1-((1+R422)^-D422)),NbDeci),ROUND(L422/D422,NbDeci)),S421))</x:f>
      </x:c>
    </x:row>
    <x:row r="423" spans="1:31" x14ac:dyDescent="0.2">
      <x:c r="B423" s="334"/>
      <x:c r="C423" s="335"/>
      <x:c r="D423" s="336"/>
      <x:c r="E423" s="337"/>
      <x:c r="F423" s="338"/>
      <x:c r="H423" s="327">
        <x:f>IF(L423=0,"",H422+1)</x:f>
      </x:c>
      <x:c r="I423" s="328">
        <x:f>IF(L423&gt;0,NbEch+Différé+1-H423,"")</x:f>
      </x:c>
      <x:c r="J423" s="339">
        <x:f>IF(ISNUMBER(K423),YEAR(K423),"")</x:f>
      </x:c>
      <x:c r="K423" s="340">
        <x:f>IF(L423=0,"",IF(Ijour=0,MIN(DATE(YEAR(DebAmort),MONTH(DebAmort)+(H423-1)*Imois,Jour1),DATE(YEAR(DebAmort),MONTH(DebAmort)+1+(H423-1)*Imois,0)),DATE(YEAR(DebAmort),MONTH(DebAmort),Jour1+(H423-1)*Ijour)))</x:f>
      </x:c>
      <x:c r="L423" s="341">
        <x:f>L422-N422</x:f>
      </x:c>
      <x:c r="M423" s="331">
        <x:f>IF(H423&lt;=NoEchMaxi,ROUND(L423*R423,NbDeci),0)</x:f>
      </x:c>
      <x:c r="N423" s="330">
        <x:f>IF(OR(H423&lt;=Différé,H423&gt;NoEchMaxi),IF(DiffTotal,-M423,0),IF(H423&gt;=NoEchRemb,L423,IF(S423-(M423*EchFIXE)&gt;L423-2,L423,S423-(M423*EchFIXE))))+C423</x:f>
      </x:c>
      <x:c r="O423" s="332">
        <x:f>IF(OR(L423=0,H423&gt;NoEchMaxi),0,ROUND(FraisF+FraisV*L423,NbDeci))+F423</x:f>
      </x:c>
      <x:c r="P423" s="342">
        <x:f>SUM(M423:O423)</x:f>
      </x:c>
      <x:c r="Q423" s="0"/>
      <x:c r="R423" s="71">
        <x:f>IF(B423&gt;0,IF(TauxActuariel,((B423+1)^(1/NbEchAn))-1,B423/NbEchAn),R422)</x:f>
      </x:c>
      <x:c r="S423" s="70">
        <x:f>IF(E423&gt;0,E423,IF(D423&gt;0,IF(AND(EchFIXE,R423&gt;0),ROUND((L423-C423)*R423/(1-((1+R423)^-D423)),NbDeci),ROUND(L423/D423,NbDeci)),S422))</x:f>
      </x:c>
    </x:row>
    <x:row r="424" spans="1:31" x14ac:dyDescent="0.2">
      <x:c r="B424" s="334"/>
      <x:c r="C424" s="335"/>
      <x:c r="D424" s="336"/>
      <x:c r="E424" s="337"/>
      <x:c r="F424" s="338"/>
      <x:c r="H424" s="327">
        <x:f>IF(L424=0,"",H423+1)</x:f>
      </x:c>
      <x:c r="I424" s="328">
        <x:f>IF(L424&gt;0,NbEch+Différé+1-H424,"")</x:f>
      </x:c>
      <x:c r="J424" s="339">
        <x:f>IF(ISNUMBER(K424),YEAR(K424),"")</x:f>
      </x:c>
      <x:c r="K424" s="340">
        <x:f>IF(L424=0,"",IF(Ijour=0,MIN(DATE(YEAR(DebAmort),MONTH(DebAmort)+MoisD+(H424-1)*Imois,Jour2),DATE(YEAR(DebAmort),MONTH(DebAmort)+MoisD+1+(H424-1)*Imois,0)),DATE(YEAR(DebAmort),MONTH(DebAmort),Jour1+(H424-1)*Ijour)))</x:f>
      </x:c>
      <x:c r="L424" s="341">
        <x:f>L423-N423</x:f>
      </x:c>
      <x:c r="M424" s="331">
        <x:f>IF(H424&lt;=NoEchMaxi,ROUND(L424*R424,NbDeci),0)</x:f>
      </x:c>
      <x:c r="N424" s="330">
        <x:f>IF(OR(H424&lt;=Différé,H424&gt;NoEchMaxi),IF(DiffTotal,-M424,0),IF(H424&gt;=NoEchRemb,L424,IF(S424-(M424*EchFIXE)&gt;L424-2,L424,S424-(M424*EchFIXE))))+C424</x:f>
      </x:c>
      <x:c r="O424" s="332">
        <x:f>IF(OR(L424=0,H424&gt;NoEchMaxi),0,ROUND(FraisF+FraisV*L424,NbDeci))+F424</x:f>
      </x:c>
      <x:c r="P424" s="342">
        <x:f>SUM(M424:O424)</x:f>
      </x:c>
      <x:c r="Q424" s="0"/>
      <x:c r="R424" s="71">
        <x:f>IF(B424&gt;0,IF(TauxActuariel,((B424+1)^(1/NbEchAn))-1,B424/NbEchAn),R423)</x:f>
      </x:c>
      <x:c r="S424" s="70">
        <x:f>IF(E424&gt;0,E424,IF(D424&gt;0,IF(AND(EchFIXE,R424&gt;0),ROUND((L424-C424)*R424/(1-((1+R424)^-D424)),NbDeci),ROUND(L424/D424,NbDeci)),S423))</x:f>
      </x:c>
    </x:row>
    <x:row r="425" spans="1:31" x14ac:dyDescent="0.2">
      <x:c r="B425" s="334"/>
      <x:c r="C425" s="335"/>
      <x:c r="D425" s="336"/>
      <x:c r="E425" s="337"/>
      <x:c r="F425" s="338"/>
      <x:c r="H425" s="327">
        <x:f>IF(L425=0,"",H424+1)</x:f>
      </x:c>
      <x:c r="I425" s="328">
        <x:f>IF(L425&gt;0,NbEch+Différé+1-H425,"")</x:f>
      </x:c>
      <x:c r="J425" s="339">
        <x:f>IF(ISNUMBER(K425),YEAR(K425),"")</x:f>
      </x:c>
      <x:c r="K425" s="340">
        <x:f>IF(L425=0,"",IF(Ijour=0,MIN(DATE(YEAR(DebAmort),MONTH(DebAmort)+(H425-1)*Imois,Jour1),DATE(YEAR(DebAmort),MONTH(DebAmort)+1+(H425-1)*Imois,0)),DATE(YEAR(DebAmort),MONTH(DebAmort),Jour1+(H425-1)*Ijour)))</x:f>
      </x:c>
      <x:c r="L425" s="341">
        <x:f>L424-N424</x:f>
      </x:c>
      <x:c r="M425" s="331">
        <x:f>IF(H425&lt;=NoEchMaxi,ROUND(L425*R425,NbDeci),0)</x:f>
      </x:c>
      <x:c r="N425" s="330">
        <x:f>IF(OR(H425&lt;=Différé,H425&gt;NoEchMaxi),IF(DiffTotal,-M425,0),IF(H425&gt;=NoEchRemb,L425,IF(S425-(M425*EchFIXE)&gt;L425-2,L425,S425-(M425*EchFIXE))))+C425</x:f>
      </x:c>
      <x:c r="O425" s="332">
        <x:f>IF(OR(L425=0,H425&gt;NoEchMaxi),0,ROUND(FraisF+FraisV*L425,NbDeci))+F425</x:f>
      </x:c>
      <x:c r="P425" s="342">
        <x:f>SUM(M425:O425)</x:f>
      </x:c>
      <x:c r="Q425" s="0"/>
      <x:c r="R425" s="71">
        <x:f>IF(B425&gt;0,IF(TauxActuariel,((B425+1)^(1/NbEchAn))-1,B425/NbEchAn),R424)</x:f>
      </x:c>
      <x:c r="S425" s="70">
        <x:f>IF(E425&gt;0,E425,IF(D425&gt;0,IF(AND(EchFIXE,R425&gt;0),ROUND((L425-C425)*R425/(1-((1+R425)^-D425)),NbDeci),ROUND(L425/D425,NbDeci)),S424))</x:f>
      </x:c>
    </x:row>
    <x:row r="426" spans="1:31" x14ac:dyDescent="0.2">
      <x:c r="B426" s="334"/>
      <x:c r="C426" s="335"/>
      <x:c r="D426" s="336"/>
      <x:c r="E426" s="337"/>
      <x:c r="F426" s="338"/>
      <x:c r="H426" s="327">
        <x:f>IF(L426=0,"",H425+1)</x:f>
      </x:c>
      <x:c r="I426" s="328">
        <x:f>IF(L426&gt;0,NbEch+Différé+1-H426,"")</x:f>
      </x:c>
      <x:c r="J426" s="339">
        <x:f>IF(ISNUMBER(K426),YEAR(K426),"")</x:f>
      </x:c>
      <x:c r="K426" s="340">
        <x:f>IF(L426=0,"",IF(Ijour=0,MIN(DATE(YEAR(DebAmort),MONTH(DebAmort)+MoisD+(H426-1)*Imois,Jour2),DATE(YEAR(DebAmort),MONTH(DebAmort)+MoisD+1+(H426-1)*Imois,0)),DATE(YEAR(DebAmort),MONTH(DebAmort),Jour1+(H426-1)*Ijour)))</x:f>
      </x:c>
      <x:c r="L426" s="341">
        <x:f>L425-N425</x:f>
      </x:c>
      <x:c r="M426" s="331">
        <x:f>IF(H426&lt;=NoEchMaxi,ROUND(L426*R426,NbDeci),0)</x:f>
      </x:c>
      <x:c r="N426" s="330">
        <x:f>IF(OR(H426&lt;=Différé,H426&gt;NoEchMaxi),IF(DiffTotal,-M426,0),IF(H426&gt;=NoEchRemb,L426,IF(S426-(M426*EchFIXE)&gt;L426-2,L426,S426-(M426*EchFIXE))))+C426</x:f>
      </x:c>
      <x:c r="O426" s="332">
        <x:f>IF(OR(L426=0,H426&gt;NoEchMaxi),0,ROUND(FraisF+FraisV*L426,NbDeci))+F426</x:f>
      </x:c>
      <x:c r="P426" s="342">
        <x:f>SUM(M426:O426)</x:f>
      </x:c>
      <x:c r="Q426" s="0"/>
      <x:c r="R426" s="71">
        <x:f>IF(B426&gt;0,IF(TauxActuariel,((B426+1)^(1/NbEchAn))-1,B426/NbEchAn),R425)</x:f>
      </x:c>
      <x:c r="S426" s="70">
        <x:f>IF(E426&gt;0,E426,IF(D426&gt;0,IF(AND(EchFIXE,R426&gt;0),ROUND((L426-C426)*R426/(1-((1+R426)^-D426)),NbDeci),ROUND(L426/D426,NbDeci)),S425))</x:f>
      </x:c>
    </x:row>
    <x:row r="427" spans="1:31" x14ac:dyDescent="0.2">
      <x:c r="B427" s="334"/>
      <x:c r="C427" s="335"/>
      <x:c r="D427" s="336"/>
      <x:c r="E427" s="337"/>
      <x:c r="F427" s="338"/>
      <x:c r="H427" s="327">
        <x:f>IF(L427=0,"",H426+1)</x:f>
      </x:c>
      <x:c r="I427" s="328">
        <x:f>IF(L427&gt;0,NbEch+Différé+1-H427,"")</x:f>
      </x:c>
      <x:c r="J427" s="339">
        <x:f>IF(ISNUMBER(K427),YEAR(K427),"")</x:f>
      </x:c>
      <x:c r="K427" s="340">
        <x:f>IF(L427=0,"",IF(Ijour=0,MIN(DATE(YEAR(DebAmort),MONTH(DebAmort)+(H427-1)*Imois,Jour1),DATE(YEAR(DebAmort),MONTH(DebAmort)+1+(H427-1)*Imois,0)),DATE(YEAR(DebAmort),MONTH(DebAmort),Jour1+(H427-1)*Ijour)))</x:f>
      </x:c>
      <x:c r="L427" s="341">
        <x:f>L426-N426</x:f>
      </x:c>
      <x:c r="M427" s="331">
        <x:f>IF(H427&lt;=NoEchMaxi,ROUND(L427*R427,NbDeci),0)</x:f>
      </x:c>
      <x:c r="N427" s="330">
        <x:f>IF(OR(H427&lt;=Différé,H427&gt;NoEchMaxi),IF(DiffTotal,-M427,0),IF(H427&gt;=NoEchRemb,L427,IF(S427-(M427*EchFIXE)&gt;L427-2,L427,S427-(M427*EchFIXE))))+C427</x:f>
      </x:c>
      <x:c r="O427" s="332">
        <x:f>IF(OR(L427=0,H427&gt;NoEchMaxi),0,ROUND(FraisF+FraisV*L427,NbDeci))+F427</x:f>
      </x:c>
      <x:c r="P427" s="342">
        <x:f>SUM(M427:O427)</x:f>
      </x:c>
      <x:c r="Q427" s="0"/>
      <x:c r="R427" s="71">
        <x:f>IF(B427&gt;0,IF(TauxActuariel,((B427+1)^(1/NbEchAn))-1,B427/NbEchAn),R426)</x:f>
      </x:c>
      <x:c r="S427" s="70">
        <x:f>IF(E427&gt;0,E427,IF(D427&gt;0,IF(AND(EchFIXE,R427&gt;0),ROUND((L427-C427)*R427/(1-((1+R427)^-D427)),NbDeci),ROUND(L427/D427,NbDeci)),S426))</x:f>
      </x:c>
    </x:row>
    <x:row r="428" spans="1:31" x14ac:dyDescent="0.2">
      <x:c r="B428" s="334"/>
      <x:c r="C428" s="335"/>
      <x:c r="D428" s="336"/>
      <x:c r="E428" s="337"/>
      <x:c r="F428" s="338"/>
      <x:c r="H428" s="327">
        <x:f>IF(L428=0,"",H427+1)</x:f>
      </x:c>
      <x:c r="I428" s="328">
        <x:f>IF(L428&gt;0,NbEch+Différé+1-H428,"")</x:f>
      </x:c>
      <x:c r="J428" s="339">
        <x:f>IF(ISNUMBER(K428),YEAR(K428),"")</x:f>
      </x:c>
      <x:c r="K428" s="340">
        <x:f>IF(L428=0,"",IF(Ijour=0,MIN(DATE(YEAR(DebAmort),MONTH(DebAmort)+MoisD+(H428-1)*Imois,Jour2),DATE(YEAR(DebAmort),MONTH(DebAmort)+MoisD+1+(H428-1)*Imois,0)),DATE(YEAR(DebAmort),MONTH(DebAmort),Jour1+(H428-1)*Ijour)))</x:f>
      </x:c>
      <x:c r="L428" s="341">
        <x:f>L427-N427</x:f>
      </x:c>
      <x:c r="M428" s="331">
        <x:f>IF(H428&lt;=NoEchMaxi,ROUND(L428*R428,NbDeci),0)</x:f>
      </x:c>
      <x:c r="N428" s="330">
        <x:f>IF(OR(H428&lt;=Différé,H428&gt;NoEchMaxi),IF(DiffTotal,-M428,0),IF(H428&gt;=NoEchRemb,L428,IF(S428-(M428*EchFIXE)&gt;L428-2,L428,S428-(M428*EchFIXE))))+C428</x:f>
      </x:c>
      <x:c r="O428" s="332">
        <x:f>IF(OR(L428=0,H428&gt;NoEchMaxi),0,ROUND(FraisF+FraisV*L428,NbDeci))+F428</x:f>
      </x:c>
      <x:c r="P428" s="342">
        <x:f>SUM(M428:O428)</x:f>
      </x:c>
      <x:c r="Q428" s="0"/>
      <x:c r="R428" s="71">
        <x:f>IF(B428&gt;0,IF(TauxActuariel,((B428+1)^(1/NbEchAn))-1,B428/NbEchAn),R427)</x:f>
      </x:c>
      <x:c r="S428" s="70">
        <x:f>IF(E428&gt;0,E428,IF(D428&gt;0,IF(AND(EchFIXE,R428&gt;0),ROUND((L428-C428)*R428/(1-((1+R428)^-D428)),NbDeci),ROUND(L428/D428,NbDeci)),S427))</x:f>
      </x:c>
    </x:row>
    <x:row r="429" spans="1:31" x14ac:dyDescent="0.2">
      <x:c r="B429" s="334"/>
      <x:c r="C429" s="335"/>
      <x:c r="D429" s="336"/>
      <x:c r="E429" s="337"/>
      <x:c r="F429" s="338"/>
      <x:c r="H429" s="327">
        <x:f>IF(L429=0,"",H428+1)</x:f>
      </x:c>
      <x:c r="I429" s="328">
        <x:f>IF(L429&gt;0,NbEch+Différé+1-H429,"")</x:f>
      </x:c>
      <x:c r="J429" s="339">
        <x:f>IF(ISNUMBER(K429),YEAR(K429),"")</x:f>
      </x:c>
      <x:c r="K429" s="340">
        <x:f>IF(L429=0,"",IF(Ijour=0,MIN(DATE(YEAR(DebAmort),MONTH(DebAmort)+(H429-1)*Imois,Jour1),DATE(YEAR(DebAmort),MONTH(DebAmort)+1+(H429-1)*Imois,0)),DATE(YEAR(DebAmort),MONTH(DebAmort),Jour1+(H429-1)*Ijour)))</x:f>
      </x:c>
      <x:c r="L429" s="341">
        <x:f>L428-N428</x:f>
      </x:c>
      <x:c r="M429" s="331">
        <x:f>IF(H429&lt;=NoEchMaxi,ROUND(L429*R429,NbDeci),0)</x:f>
      </x:c>
      <x:c r="N429" s="330">
        <x:f>IF(OR(H429&lt;=Différé,H429&gt;NoEchMaxi),IF(DiffTotal,-M429,0),IF(H429&gt;=NoEchRemb,L429,IF(S429-(M429*EchFIXE)&gt;L429-2,L429,S429-(M429*EchFIXE))))+C429</x:f>
      </x:c>
      <x:c r="O429" s="332">
        <x:f>IF(OR(L429=0,H429&gt;NoEchMaxi),0,ROUND(FraisF+FraisV*L429,NbDeci))+F429</x:f>
      </x:c>
      <x:c r="P429" s="342">
        <x:f>SUM(M429:O429)</x:f>
      </x:c>
      <x:c r="Q429" s="0"/>
      <x:c r="R429" s="71">
        <x:f>IF(B429&gt;0,IF(TauxActuariel,((B429+1)^(1/NbEchAn))-1,B429/NbEchAn),R428)</x:f>
      </x:c>
      <x:c r="S429" s="70">
        <x:f>IF(E429&gt;0,E429,IF(D429&gt;0,IF(AND(EchFIXE,R429&gt;0),ROUND((L429-C429)*R429/(1-((1+R429)^-D429)),NbDeci),ROUND(L429/D429,NbDeci)),S428))</x:f>
      </x:c>
    </x:row>
    <x:row r="430" spans="1:31" x14ac:dyDescent="0.2">
      <x:c r="B430" s="334"/>
      <x:c r="C430" s="335"/>
      <x:c r="D430" s="336"/>
      <x:c r="E430" s="337"/>
      <x:c r="F430" s="338"/>
      <x:c r="H430" s="327">
        <x:f>IF(L430=0,"",H429+1)</x:f>
      </x:c>
      <x:c r="I430" s="328">
        <x:f>IF(L430&gt;0,NbEch+Différé+1-H430,"")</x:f>
      </x:c>
      <x:c r="J430" s="339">
        <x:f>IF(ISNUMBER(K430),YEAR(K430),"")</x:f>
      </x:c>
      <x:c r="K430" s="340">
        <x:f>IF(L430=0,"",IF(Ijour=0,MIN(DATE(YEAR(DebAmort),MONTH(DebAmort)+MoisD+(H430-1)*Imois,Jour2),DATE(YEAR(DebAmort),MONTH(DebAmort)+MoisD+1+(H430-1)*Imois,0)),DATE(YEAR(DebAmort),MONTH(DebAmort),Jour1+(H430-1)*Ijour)))</x:f>
      </x:c>
      <x:c r="L430" s="341">
        <x:f>L429-N429</x:f>
      </x:c>
      <x:c r="M430" s="331">
        <x:f>IF(H430&lt;=NoEchMaxi,ROUND(L430*R430,NbDeci),0)</x:f>
      </x:c>
      <x:c r="N430" s="330">
        <x:f>IF(OR(H430&lt;=Différé,H430&gt;NoEchMaxi),IF(DiffTotal,-M430,0),IF(H430&gt;=NoEchRemb,L430,IF(S430-(M430*EchFIXE)&gt;L430-2,L430,S430-(M430*EchFIXE))))+C430</x:f>
      </x:c>
      <x:c r="O430" s="332">
        <x:f>IF(OR(L430=0,H430&gt;NoEchMaxi),0,ROUND(FraisF+FraisV*L430,NbDeci))+F430</x:f>
      </x:c>
      <x:c r="P430" s="342">
        <x:f>SUM(M430:O430)</x:f>
      </x:c>
      <x:c r="Q430" s="0"/>
      <x:c r="R430" s="71">
        <x:f>IF(B430&gt;0,IF(TauxActuariel,((B430+1)^(1/NbEchAn))-1,B430/NbEchAn),R429)</x:f>
      </x:c>
      <x:c r="S430" s="70">
        <x:f>IF(E430&gt;0,E430,IF(D430&gt;0,IF(AND(EchFIXE,R430&gt;0),ROUND((L430-C430)*R430/(1-((1+R430)^-D430)),NbDeci),ROUND(L430/D430,NbDeci)),S429))</x:f>
      </x:c>
    </x:row>
    <x:row r="431" spans="1:31" x14ac:dyDescent="0.2">
      <x:c r="B431" s="334"/>
      <x:c r="C431" s="335"/>
      <x:c r="D431" s="336"/>
      <x:c r="E431" s="337"/>
      <x:c r="F431" s="338"/>
      <x:c r="H431" s="327">
        <x:f>IF(L431=0,"",H430+1)</x:f>
      </x:c>
      <x:c r="I431" s="328">
        <x:f>IF(L431&gt;0,NbEch+Différé+1-H431,"")</x:f>
      </x:c>
      <x:c r="J431" s="339">
        <x:f>IF(ISNUMBER(K431),YEAR(K431),"")</x:f>
      </x:c>
      <x:c r="K431" s="340">
        <x:f>IF(L431=0,"",IF(Ijour=0,MIN(DATE(YEAR(DebAmort),MONTH(DebAmort)+(H431-1)*Imois,Jour1),DATE(YEAR(DebAmort),MONTH(DebAmort)+1+(H431-1)*Imois,0)),DATE(YEAR(DebAmort),MONTH(DebAmort),Jour1+(H431-1)*Ijour)))</x:f>
      </x:c>
      <x:c r="L431" s="341">
        <x:f>L430-N430</x:f>
      </x:c>
      <x:c r="M431" s="331">
        <x:f>IF(H431&lt;=NoEchMaxi,ROUND(L431*R431,NbDeci),0)</x:f>
      </x:c>
      <x:c r="N431" s="330">
        <x:f>IF(OR(H431&lt;=Différé,H431&gt;NoEchMaxi),IF(DiffTotal,-M431,0),IF(H431&gt;=NoEchRemb,L431,IF(S431-(M431*EchFIXE)&gt;L431-2,L431,S431-(M431*EchFIXE))))+C431</x:f>
      </x:c>
      <x:c r="O431" s="332">
        <x:f>IF(OR(L431=0,H431&gt;NoEchMaxi),0,ROUND(FraisF+FraisV*L431,NbDeci))+F431</x:f>
      </x:c>
      <x:c r="P431" s="342">
        <x:f>SUM(M431:O431)</x:f>
      </x:c>
      <x:c r="Q431" s="0"/>
      <x:c r="R431" s="71">
        <x:f>IF(B431&gt;0,IF(TauxActuariel,((B431+1)^(1/NbEchAn))-1,B431/NbEchAn),R430)</x:f>
      </x:c>
      <x:c r="S431" s="70">
        <x:f>IF(E431&gt;0,E431,IF(D431&gt;0,IF(AND(EchFIXE,R431&gt;0),ROUND((L431-C431)*R431/(1-((1+R431)^-D431)),NbDeci),ROUND(L431/D431,NbDeci)),S430))</x:f>
      </x:c>
    </x:row>
    <x:row r="432" spans="1:31" x14ac:dyDescent="0.2">
      <x:c r="B432" s="334"/>
      <x:c r="C432" s="335"/>
      <x:c r="D432" s="336"/>
      <x:c r="E432" s="337"/>
      <x:c r="F432" s="338"/>
      <x:c r="H432" s="327">
        <x:f>IF(L432=0,"",H431+1)</x:f>
      </x:c>
      <x:c r="I432" s="328">
        <x:f>IF(L432&gt;0,NbEch+Différé+1-H432,"")</x:f>
      </x:c>
      <x:c r="J432" s="339">
        <x:f>IF(ISNUMBER(K432),YEAR(K432),"")</x:f>
      </x:c>
      <x:c r="K432" s="340">
        <x:f>IF(L432=0,"",IF(Ijour=0,MIN(DATE(YEAR(DebAmort),MONTH(DebAmort)+MoisD+(H432-1)*Imois,Jour2),DATE(YEAR(DebAmort),MONTH(DebAmort)+MoisD+1+(H432-1)*Imois,0)),DATE(YEAR(DebAmort),MONTH(DebAmort),Jour1+(H432-1)*Ijour)))</x:f>
      </x:c>
      <x:c r="L432" s="341">
        <x:f>L431-N431</x:f>
      </x:c>
      <x:c r="M432" s="331">
        <x:f>IF(H432&lt;=NoEchMaxi,ROUND(L432*R432,NbDeci),0)</x:f>
      </x:c>
      <x:c r="N432" s="330">
        <x:f>IF(OR(H432&lt;=Différé,H432&gt;NoEchMaxi),IF(DiffTotal,-M432,0),IF(H432&gt;=NoEchRemb,L432,IF(S432-(M432*EchFIXE)&gt;L432-2,L432,S432-(M432*EchFIXE))))+C432</x:f>
      </x:c>
      <x:c r="O432" s="332">
        <x:f>IF(OR(L432=0,H432&gt;NoEchMaxi),0,ROUND(FraisF+FraisV*L432,NbDeci))+F432</x:f>
      </x:c>
      <x:c r="P432" s="342">
        <x:f>SUM(M432:O432)</x:f>
      </x:c>
      <x:c r="Q432" s="0"/>
      <x:c r="R432" s="71">
        <x:f>IF(B432&gt;0,IF(TauxActuariel,((B432+1)^(1/NbEchAn))-1,B432/NbEchAn),R431)</x:f>
      </x:c>
      <x:c r="S432" s="70">
        <x:f>IF(E432&gt;0,E432,IF(D432&gt;0,IF(AND(EchFIXE,R432&gt;0),ROUND((L432-C432)*R432/(1-((1+R432)^-D432)),NbDeci),ROUND(L432/D432,NbDeci)),S431))</x:f>
      </x:c>
    </x:row>
    <x:row r="433" spans="1:31" x14ac:dyDescent="0.2">
      <x:c r="B433" s="334"/>
      <x:c r="C433" s="335"/>
      <x:c r="D433" s="336"/>
      <x:c r="E433" s="337"/>
      <x:c r="F433" s="338"/>
      <x:c r="H433" s="327">
        <x:f>IF(L433=0,"",H432+1)</x:f>
      </x:c>
      <x:c r="I433" s="328">
        <x:f>IF(L433&gt;0,NbEch+Différé+1-H433,"")</x:f>
      </x:c>
      <x:c r="J433" s="339">
        <x:f>IF(ISNUMBER(K433),YEAR(K433),"")</x:f>
      </x:c>
      <x:c r="K433" s="340">
        <x:f>IF(L433=0,"",IF(Ijour=0,MIN(DATE(YEAR(DebAmort),MONTH(DebAmort)+(H433-1)*Imois,Jour1),DATE(YEAR(DebAmort),MONTH(DebAmort)+1+(H433-1)*Imois,0)),DATE(YEAR(DebAmort),MONTH(DebAmort),Jour1+(H433-1)*Ijour)))</x:f>
      </x:c>
      <x:c r="L433" s="341">
        <x:f>L432-N432</x:f>
      </x:c>
      <x:c r="M433" s="331">
        <x:f>IF(H433&lt;=NoEchMaxi,ROUND(L433*R433,NbDeci),0)</x:f>
      </x:c>
      <x:c r="N433" s="330">
        <x:f>IF(OR(H433&lt;=Différé,H433&gt;NoEchMaxi),IF(DiffTotal,-M433,0),IF(H433&gt;=NoEchRemb,L433,IF(S433-(M433*EchFIXE)&gt;L433-2,L433,S433-(M433*EchFIXE))))+C433</x:f>
      </x:c>
      <x:c r="O433" s="332">
        <x:f>IF(OR(L433=0,H433&gt;NoEchMaxi),0,ROUND(FraisF+FraisV*L433,NbDeci))+F433</x:f>
      </x:c>
      <x:c r="P433" s="342">
        <x:f>SUM(M433:O433)</x:f>
      </x:c>
      <x:c r="Q433" s="0"/>
      <x:c r="R433" s="71">
        <x:f>IF(B433&gt;0,IF(TauxActuariel,((B433+1)^(1/NbEchAn))-1,B433/NbEchAn),R432)</x:f>
      </x:c>
      <x:c r="S433" s="70">
        <x:f>IF(E433&gt;0,E433,IF(D433&gt;0,IF(AND(EchFIXE,R433&gt;0),ROUND((L433-C433)*R433/(1-((1+R433)^-D433)),NbDeci),ROUND(L433/D433,NbDeci)),S432))</x:f>
      </x:c>
    </x:row>
    <x:row r="434" spans="1:31" x14ac:dyDescent="0.2">
      <x:c r="B434" s="334"/>
      <x:c r="C434" s="335"/>
      <x:c r="D434" s="336"/>
      <x:c r="E434" s="337"/>
      <x:c r="F434" s="338"/>
      <x:c r="H434" s="327">
        <x:f>IF(L434=0,"",H433+1)</x:f>
      </x:c>
      <x:c r="I434" s="328">
        <x:f>IF(L434&gt;0,NbEch+Différé+1-H434,"")</x:f>
      </x:c>
      <x:c r="J434" s="339">
        <x:f>IF(ISNUMBER(K434),YEAR(K434),"")</x:f>
      </x:c>
      <x:c r="K434" s="340">
        <x:f>IF(L434=0,"",IF(Ijour=0,MIN(DATE(YEAR(DebAmort),MONTH(DebAmort)+MoisD+(H434-1)*Imois,Jour2),DATE(YEAR(DebAmort),MONTH(DebAmort)+MoisD+1+(H434-1)*Imois,0)),DATE(YEAR(DebAmort),MONTH(DebAmort),Jour1+(H434-1)*Ijour)))</x:f>
      </x:c>
      <x:c r="L434" s="341">
        <x:f>L433-N433</x:f>
      </x:c>
      <x:c r="M434" s="331">
        <x:f>IF(H434&lt;=NoEchMaxi,ROUND(L434*R434,NbDeci),0)</x:f>
      </x:c>
      <x:c r="N434" s="330">
        <x:f>IF(OR(H434&lt;=Différé,H434&gt;NoEchMaxi),IF(DiffTotal,-M434,0),IF(H434&gt;=NoEchRemb,L434,IF(S434-(M434*EchFIXE)&gt;L434-2,L434,S434-(M434*EchFIXE))))+C434</x:f>
      </x:c>
      <x:c r="O434" s="332">
        <x:f>IF(OR(L434=0,H434&gt;NoEchMaxi),0,ROUND(FraisF+FraisV*L434,NbDeci))+F434</x:f>
      </x:c>
      <x:c r="P434" s="342">
        <x:f>SUM(M434:O434)</x:f>
      </x:c>
      <x:c r="Q434" s="0"/>
      <x:c r="R434" s="71">
        <x:f>IF(B434&gt;0,IF(TauxActuariel,((B434+1)^(1/NbEchAn))-1,B434/NbEchAn),R433)</x:f>
      </x:c>
      <x:c r="S434" s="70">
        <x:f>IF(E434&gt;0,E434,IF(D434&gt;0,IF(AND(EchFIXE,R434&gt;0),ROUND((L434-C434)*R434/(1-((1+R434)^-D434)),NbDeci),ROUND(L434/D434,NbDeci)),S433))</x:f>
      </x:c>
    </x:row>
    <x:row r="435" spans="1:31" x14ac:dyDescent="0.2">
      <x:c r="B435" s="334"/>
      <x:c r="C435" s="335"/>
      <x:c r="D435" s="336"/>
      <x:c r="E435" s="337"/>
      <x:c r="F435" s="338"/>
      <x:c r="H435" s="327">
        <x:f>IF(L435=0,"",H434+1)</x:f>
      </x:c>
      <x:c r="I435" s="328">
        <x:f>IF(L435&gt;0,NbEch+Différé+1-H435,"")</x:f>
      </x:c>
      <x:c r="J435" s="339">
        <x:f>IF(ISNUMBER(K435),YEAR(K435),"")</x:f>
      </x:c>
      <x:c r="K435" s="340">
        <x:f>IF(L435=0,"",IF(Ijour=0,MIN(DATE(YEAR(DebAmort),MONTH(DebAmort)+(H435-1)*Imois,Jour1),DATE(YEAR(DebAmort),MONTH(DebAmort)+1+(H435-1)*Imois,0)),DATE(YEAR(DebAmort),MONTH(DebAmort),Jour1+(H435-1)*Ijour)))</x:f>
      </x:c>
      <x:c r="L435" s="341">
        <x:f>L434-N434</x:f>
      </x:c>
      <x:c r="M435" s="331">
        <x:f>IF(H435&lt;=NoEchMaxi,ROUND(L435*R435,NbDeci),0)</x:f>
      </x:c>
      <x:c r="N435" s="330">
        <x:f>IF(OR(H435&lt;=Différé,H435&gt;NoEchMaxi),IF(DiffTotal,-M435,0),IF(H435&gt;=NoEchRemb,L435,IF(S435-(M435*EchFIXE)&gt;L435-2,L435,S435-(M435*EchFIXE))))+C435</x:f>
      </x:c>
      <x:c r="O435" s="332">
        <x:f>IF(OR(L435=0,H435&gt;NoEchMaxi),0,ROUND(FraisF+FraisV*L435,NbDeci))+F435</x:f>
      </x:c>
      <x:c r="P435" s="342">
        <x:f>SUM(M435:O435)</x:f>
      </x:c>
      <x:c r="Q435" s="0"/>
      <x:c r="R435" s="71">
        <x:f>IF(B435&gt;0,IF(TauxActuariel,((B435+1)^(1/NbEchAn))-1,B435/NbEchAn),R434)</x:f>
      </x:c>
      <x:c r="S435" s="70">
        <x:f>IF(E435&gt;0,E435,IF(D435&gt;0,IF(AND(EchFIXE,R435&gt;0),ROUND((L435-C435)*R435/(1-((1+R435)^-D435)),NbDeci),ROUND(L435/D435,NbDeci)),S434))</x:f>
      </x:c>
    </x:row>
    <x:row r="436" spans="1:31" x14ac:dyDescent="0.2">
      <x:c r="B436" s="334"/>
      <x:c r="C436" s="335"/>
      <x:c r="D436" s="336"/>
      <x:c r="E436" s="337"/>
      <x:c r="F436" s="338"/>
      <x:c r="H436" s="327">
        <x:f>IF(L436=0,"",H435+1)</x:f>
      </x:c>
      <x:c r="I436" s="328">
        <x:f>IF(L436&gt;0,NbEch+Différé+1-H436,"")</x:f>
      </x:c>
      <x:c r="J436" s="339">
        <x:f>IF(ISNUMBER(K436),YEAR(K436),"")</x:f>
      </x:c>
      <x:c r="K436" s="340">
        <x:f>IF(L436=0,"",IF(Ijour=0,MIN(DATE(YEAR(DebAmort),MONTH(DebAmort)+MoisD+(H436-1)*Imois,Jour2),DATE(YEAR(DebAmort),MONTH(DebAmort)+MoisD+1+(H436-1)*Imois,0)),DATE(YEAR(DebAmort),MONTH(DebAmort),Jour1+(H436-1)*Ijour)))</x:f>
      </x:c>
      <x:c r="L436" s="341">
        <x:f>L435-N435</x:f>
      </x:c>
      <x:c r="M436" s="331">
        <x:f>IF(H436&lt;=NoEchMaxi,ROUND(L436*R436,NbDeci),0)</x:f>
      </x:c>
      <x:c r="N436" s="330">
        <x:f>IF(OR(H436&lt;=Différé,H436&gt;NoEchMaxi),IF(DiffTotal,-M436,0),IF(H436&gt;=NoEchRemb,L436,IF(S436-(M436*EchFIXE)&gt;L436-2,L436,S436-(M436*EchFIXE))))+C436</x:f>
      </x:c>
      <x:c r="O436" s="332">
        <x:f>IF(OR(L436=0,H436&gt;NoEchMaxi),0,ROUND(FraisF+FraisV*L436,NbDeci))+F436</x:f>
      </x:c>
      <x:c r="P436" s="342">
        <x:f>SUM(M436:O436)</x:f>
      </x:c>
      <x:c r="Q436" s="0"/>
      <x:c r="R436" s="71">
        <x:f>IF(B436&gt;0,IF(TauxActuariel,((B436+1)^(1/NbEchAn))-1,B436/NbEchAn),R435)</x:f>
      </x:c>
      <x:c r="S436" s="70">
        <x:f>IF(E436&gt;0,E436,IF(D436&gt;0,IF(AND(EchFIXE,R436&gt;0),ROUND((L436-C436)*R436/(1-((1+R436)^-D436)),NbDeci),ROUND(L436/D436,NbDeci)),S435))</x:f>
      </x:c>
    </x:row>
    <x:row r="437" spans="1:31" x14ac:dyDescent="0.2">
      <x:c r="B437" s="334"/>
      <x:c r="C437" s="335"/>
      <x:c r="D437" s="336"/>
      <x:c r="E437" s="337"/>
      <x:c r="F437" s="338"/>
      <x:c r="H437" s="327">
        <x:f>IF(L437=0,"",H436+1)</x:f>
      </x:c>
      <x:c r="I437" s="328">
        <x:f>IF(L437&gt;0,NbEch+Différé+1-H437,"")</x:f>
      </x:c>
      <x:c r="J437" s="339">
        <x:f>IF(ISNUMBER(K437),YEAR(K437),"")</x:f>
      </x:c>
      <x:c r="K437" s="340">
        <x:f>IF(L437=0,"",IF(Ijour=0,MIN(DATE(YEAR(DebAmort),MONTH(DebAmort)+(H437-1)*Imois,Jour1),DATE(YEAR(DebAmort),MONTH(DebAmort)+1+(H437-1)*Imois,0)),DATE(YEAR(DebAmort),MONTH(DebAmort),Jour1+(H437-1)*Ijour)))</x:f>
      </x:c>
      <x:c r="L437" s="341">
        <x:f>L436-N436</x:f>
      </x:c>
      <x:c r="M437" s="331">
        <x:f>IF(H437&lt;=NoEchMaxi,ROUND(L437*R437,NbDeci),0)</x:f>
      </x:c>
      <x:c r="N437" s="330">
        <x:f>IF(OR(H437&lt;=Différé,H437&gt;NoEchMaxi),IF(DiffTotal,-M437,0),IF(H437&gt;=NoEchRemb,L437,IF(S437-(M437*EchFIXE)&gt;L437-2,L437,S437-(M437*EchFIXE))))+C437</x:f>
      </x:c>
      <x:c r="O437" s="332">
        <x:f>IF(OR(L437=0,H437&gt;NoEchMaxi),0,ROUND(FraisF+FraisV*L437,NbDeci))+F437</x:f>
      </x:c>
      <x:c r="P437" s="342">
        <x:f>SUM(M437:O437)</x:f>
      </x:c>
      <x:c r="Q437" s="0"/>
      <x:c r="R437" s="71">
        <x:f>IF(B437&gt;0,IF(TauxActuariel,((B437+1)^(1/NbEchAn))-1,B437/NbEchAn),R436)</x:f>
      </x:c>
      <x:c r="S437" s="70">
        <x:f>IF(E437&gt;0,E437,IF(D437&gt;0,IF(AND(EchFIXE,R437&gt;0),ROUND((L437-C437)*R437/(1-((1+R437)^-D437)),NbDeci),ROUND(L437/D437,NbDeci)),S436))</x:f>
      </x:c>
    </x:row>
    <x:row r="438" spans="1:31" x14ac:dyDescent="0.2">
      <x:c r="B438" s="334"/>
      <x:c r="C438" s="335"/>
      <x:c r="D438" s="336"/>
      <x:c r="E438" s="337"/>
      <x:c r="F438" s="338"/>
      <x:c r="H438" s="327">
        <x:f>IF(L438=0,"",H437+1)</x:f>
      </x:c>
      <x:c r="I438" s="328">
        <x:f>IF(L438&gt;0,NbEch+Différé+1-H438,"")</x:f>
      </x:c>
      <x:c r="J438" s="339">
        <x:f>IF(ISNUMBER(K438),YEAR(K438),"")</x:f>
      </x:c>
      <x:c r="K438" s="340">
        <x:f>IF(L438=0,"",IF(Ijour=0,MIN(DATE(YEAR(DebAmort),MONTH(DebAmort)+MoisD+(H438-1)*Imois,Jour2),DATE(YEAR(DebAmort),MONTH(DebAmort)+MoisD+1+(H438-1)*Imois,0)),DATE(YEAR(DebAmort),MONTH(DebAmort),Jour1+(H438-1)*Ijour)))</x:f>
      </x:c>
      <x:c r="L438" s="341">
        <x:f>L437-N437</x:f>
      </x:c>
      <x:c r="M438" s="331">
        <x:f>IF(H438&lt;=NoEchMaxi,ROUND(L438*R438,NbDeci),0)</x:f>
      </x:c>
      <x:c r="N438" s="330">
        <x:f>IF(OR(H438&lt;=Différé,H438&gt;NoEchMaxi),IF(DiffTotal,-M438,0),IF(H438&gt;=NoEchRemb,L438,IF(S438-(M438*EchFIXE)&gt;L438-2,L438,S438-(M438*EchFIXE))))+C438</x:f>
      </x:c>
      <x:c r="O438" s="332">
        <x:f>IF(OR(L438=0,H438&gt;NoEchMaxi),0,ROUND(FraisF+FraisV*L438,NbDeci))+F438</x:f>
      </x:c>
      <x:c r="P438" s="342">
        <x:f>SUM(M438:O438)</x:f>
      </x:c>
      <x:c r="Q438" s="0"/>
      <x:c r="R438" s="71">
        <x:f>IF(B438&gt;0,IF(TauxActuariel,((B438+1)^(1/NbEchAn))-1,B438/NbEchAn),R437)</x:f>
      </x:c>
      <x:c r="S438" s="70">
        <x:f>IF(E438&gt;0,E438,IF(D438&gt;0,IF(AND(EchFIXE,R438&gt;0),ROUND((L438-C438)*R438/(1-((1+R438)^-D438)),NbDeci),ROUND(L438/D438,NbDeci)),S437))</x:f>
      </x:c>
    </x:row>
    <x:row r="439" spans="1:31" x14ac:dyDescent="0.2">
      <x:c r="B439" s="334"/>
      <x:c r="C439" s="335"/>
      <x:c r="D439" s="336"/>
      <x:c r="E439" s="337"/>
      <x:c r="F439" s="338"/>
      <x:c r="H439" s="327">
        <x:f>IF(L439=0,"",H438+1)</x:f>
      </x:c>
      <x:c r="I439" s="328">
        <x:f>IF(L439&gt;0,NbEch+Différé+1-H439,"")</x:f>
      </x:c>
      <x:c r="J439" s="339">
        <x:f>IF(ISNUMBER(K439),YEAR(K439),"")</x:f>
      </x:c>
      <x:c r="K439" s="340">
        <x:f>IF(L439=0,"",IF(Ijour=0,MIN(DATE(YEAR(DebAmort),MONTH(DebAmort)+(H439-1)*Imois,Jour1),DATE(YEAR(DebAmort),MONTH(DebAmort)+1+(H439-1)*Imois,0)),DATE(YEAR(DebAmort),MONTH(DebAmort),Jour1+(H439-1)*Ijour)))</x:f>
      </x:c>
      <x:c r="L439" s="341">
        <x:f>L438-N438</x:f>
      </x:c>
      <x:c r="M439" s="331">
        <x:f>IF(H439&lt;=NoEchMaxi,ROUND(L439*R439,NbDeci),0)</x:f>
      </x:c>
      <x:c r="N439" s="330">
        <x:f>IF(OR(H439&lt;=Différé,H439&gt;NoEchMaxi),IF(DiffTotal,-M439,0),IF(H439&gt;=NoEchRemb,L439,IF(S439-(M439*EchFIXE)&gt;L439-2,L439,S439-(M439*EchFIXE))))+C439</x:f>
      </x:c>
      <x:c r="O439" s="332">
        <x:f>IF(OR(L439=0,H439&gt;NoEchMaxi),0,ROUND(FraisF+FraisV*L439,NbDeci))+F439</x:f>
      </x:c>
      <x:c r="P439" s="342">
        <x:f>SUM(M439:O439)</x:f>
      </x:c>
      <x:c r="Q439" s="0"/>
      <x:c r="R439" s="71">
        <x:f>IF(B439&gt;0,IF(TauxActuariel,((B439+1)^(1/NbEchAn))-1,B439/NbEchAn),R438)</x:f>
      </x:c>
      <x:c r="S439" s="70">
        <x:f>IF(E439&gt;0,E439,IF(D439&gt;0,IF(AND(EchFIXE,R439&gt;0),ROUND((L439-C439)*R439/(1-((1+R439)^-D439)),NbDeci),ROUND(L439/D439,NbDeci)),S438))</x:f>
      </x:c>
    </x:row>
    <x:row r="440" spans="1:31" x14ac:dyDescent="0.2">
      <x:c r="B440" s="334"/>
      <x:c r="C440" s="335"/>
      <x:c r="D440" s="336"/>
      <x:c r="E440" s="337"/>
      <x:c r="F440" s="338"/>
      <x:c r="H440" s="327">
        <x:f>IF(L440=0,"",H439+1)</x:f>
      </x:c>
      <x:c r="I440" s="328">
        <x:f>IF(L440&gt;0,NbEch+Différé+1-H440,"")</x:f>
      </x:c>
      <x:c r="J440" s="339">
        <x:f>IF(ISNUMBER(K440),YEAR(K440),"")</x:f>
      </x:c>
      <x:c r="K440" s="340">
        <x:f>IF(L440=0,"",IF(Ijour=0,MIN(DATE(YEAR(DebAmort),MONTH(DebAmort)+MoisD+(H440-1)*Imois,Jour2),DATE(YEAR(DebAmort),MONTH(DebAmort)+MoisD+1+(H440-1)*Imois,0)),DATE(YEAR(DebAmort),MONTH(DebAmort),Jour1+(H440-1)*Ijour)))</x:f>
      </x:c>
      <x:c r="L440" s="341">
        <x:f>L439-N439</x:f>
      </x:c>
      <x:c r="M440" s="331">
        <x:f>IF(H440&lt;=NoEchMaxi,ROUND(L440*R440,NbDeci),0)</x:f>
      </x:c>
      <x:c r="N440" s="330">
        <x:f>IF(OR(H440&lt;=Différé,H440&gt;NoEchMaxi),IF(DiffTotal,-M440,0),IF(H440&gt;=NoEchRemb,L440,IF(S440-(M440*EchFIXE)&gt;L440-2,L440,S440-(M440*EchFIXE))))+C440</x:f>
      </x:c>
      <x:c r="O440" s="332">
        <x:f>IF(OR(L440=0,H440&gt;NoEchMaxi),0,ROUND(FraisF+FraisV*L440,NbDeci))+F440</x:f>
      </x:c>
      <x:c r="P440" s="342">
        <x:f>SUM(M440:O440)</x:f>
      </x:c>
      <x:c r="Q440" s="0"/>
      <x:c r="R440" s="71">
        <x:f>IF(B440&gt;0,IF(TauxActuariel,((B440+1)^(1/NbEchAn))-1,B440/NbEchAn),R439)</x:f>
      </x:c>
      <x:c r="S440" s="70">
        <x:f>IF(E440&gt;0,E440,IF(D440&gt;0,IF(AND(EchFIXE,R440&gt;0),ROUND((L440-C440)*R440/(1-((1+R440)^-D440)),NbDeci),ROUND(L440/D440,NbDeci)),S439))</x:f>
      </x:c>
    </x:row>
    <x:row r="441" spans="1:31" x14ac:dyDescent="0.2">
      <x:c r="B441" s="334"/>
      <x:c r="C441" s="335"/>
      <x:c r="D441" s="336"/>
      <x:c r="E441" s="337"/>
      <x:c r="F441" s="338"/>
      <x:c r="H441" s="327">
        <x:f>IF(L441=0,"",H440+1)</x:f>
      </x:c>
      <x:c r="I441" s="328">
        <x:f>IF(L441&gt;0,NbEch+Différé+1-H441,"")</x:f>
      </x:c>
      <x:c r="J441" s="339">
        <x:f>IF(ISNUMBER(K441),YEAR(K441),"")</x:f>
      </x:c>
      <x:c r="K441" s="340">
        <x:f>IF(L441=0,"",IF(Ijour=0,MIN(DATE(YEAR(DebAmort),MONTH(DebAmort)+(H441-1)*Imois,Jour1),DATE(YEAR(DebAmort),MONTH(DebAmort)+1+(H441-1)*Imois,0)),DATE(YEAR(DebAmort),MONTH(DebAmort),Jour1+(H441-1)*Ijour)))</x:f>
      </x:c>
      <x:c r="L441" s="341">
        <x:f>L440-N440</x:f>
      </x:c>
      <x:c r="M441" s="331">
        <x:f>IF(H441&lt;=NoEchMaxi,ROUND(L441*R441,NbDeci),0)</x:f>
      </x:c>
      <x:c r="N441" s="330">
        <x:f>IF(OR(H441&lt;=Différé,H441&gt;NoEchMaxi),IF(DiffTotal,-M441,0),IF(H441&gt;=NoEchRemb,L441,IF(S441-(M441*EchFIXE)&gt;L441-2,L441,S441-(M441*EchFIXE))))+C441</x:f>
      </x:c>
      <x:c r="O441" s="332">
        <x:f>IF(OR(L441=0,H441&gt;NoEchMaxi),0,ROUND(FraisF+FraisV*L441,NbDeci))+F441</x:f>
      </x:c>
      <x:c r="P441" s="342">
        <x:f>SUM(M441:O441)</x:f>
      </x:c>
      <x:c r="Q441" s="0"/>
      <x:c r="R441" s="71">
        <x:f>IF(B441&gt;0,IF(TauxActuariel,((B441+1)^(1/NbEchAn))-1,B441/NbEchAn),R440)</x:f>
      </x:c>
      <x:c r="S441" s="70">
        <x:f>IF(E441&gt;0,E441,IF(D441&gt;0,IF(AND(EchFIXE,R441&gt;0),ROUND((L441-C441)*R441/(1-((1+R441)^-D441)),NbDeci),ROUND(L441/D441,NbDeci)),S440))</x:f>
      </x:c>
    </x:row>
    <x:row r="442" spans="1:31" x14ac:dyDescent="0.2">
      <x:c r="B442" s="334"/>
      <x:c r="C442" s="335"/>
      <x:c r="D442" s="336"/>
      <x:c r="E442" s="337"/>
      <x:c r="F442" s="338"/>
      <x:c r="H442" s="327">
        <x:f>IF(L442=0,"",H441+1)</x:f>
      </x:c>
      <x:c r="I442" s="328">
        <x:f>IF(L442&gt;0,NbEch+Différé+1-H442,"")</x:f>
      </x:c>
      <x:c r="J442" s="339">
        <x:f>IF(ISNUMBER(K442),YEAR(K442),"")</x:f>
      </x:c>
      <x:c r="K442" s="340">
        <x:f>IF(L442=0,"",IF(Ijour=0,MIN(DATE(YEAR(DebAmort),MONTH(DebAmort)+MoisD+(H442-1)*Imois,Jour2),DATE(YEAR(DebAmort),MONTH(DebAmort)+MoisD+1+(H442-1)*Imois,0)),DATE(YEAR(DebAmort),MONTH(DebAmort),Jour1+(H442-1)*Ijour)))</x:f>
      </x:c>
      <x:c r="L442" s="341">
        <x:f>L441-N441</x:f>
      </x:c>
      <x:c r="M442" s="331">
        <x:f>IF(H442&lt;=NoEchMaxi,ROUND(L442*R442,NbDeci),0)</x:f>
      </x:c>
      <x:c r="N442" s="330">
        <x:f>IF(OR(H442&lt;=Différé,H442&gt;NoEchMaxi),IF(DiffTotal,-M442,0),IF(H442&gt;=NoEchRemb,L442,IF(S442-(M442*EchFIXE)&gt;L442-2,L442,S442-(M442*EchFIXE))))+C442</x:f>
      </x:c>
      <x:c r="O442" s="332">
        <x:f>IF(OR(L442=0,H442&gt;NoEchMaxi),0,ROUND(FraisF+FraisV*L442,NbDeci))+F442</x:f>
      </x:c>
      <x:c r="P442" s="342">
        <x:f>SUM(M442:O442)</x:f>
      </x:c>
      <x:c r="Q442" s="0"/>
      <x:c r="R442" s="71">
        <x:f>IF(B442&gt;0,IF(TauxActuariel,((B442+1)^(1/NbEchAn))-1,B442/NbEchAn),R441)</x:f>
      </x:c>
      <x:c r="S442" s="70">
        <x:f>IF(E442&gt;0,E442,IF(D442&gt;0,IF(AND(EchFIXE,R442&gt;0),ROUND((L442-C442)*R442/(1-((1+R442)^-D442)),NbDeci),ROUND(L442/D442,NbDeci)),S441))</x:f>
      </x:c>
    </x:row>
    <x:row r="443" spans="1:31" x14ac:dyDescent="0.2">
      <x:c r="B443" s="334"/>
      <x:c r="C443" s="335"/>
      <x:c r="D443" s="336"/>
      <x:c r="E443" s="337"/>
      <x:c r="F443" s="338"/>
      <x:c r="H443" s="327">
        <x:f>IF(L443=0,"",H442+1)</x:f>
      </x:c>
      <x:c r="I443" s="328">
        <x:f>IF(L443&gt;0,NbEch+Différé+1-H443,"")</x:f>
      </x:c>
      <x:c r="J443" s="339">
        <x:f>IF(ISNUMBER(K443),YEAR(K443),"")</x:f>
      </x:c>
      <x:c r="K443" s="340">
        <x:f>IF(L443=0,"",IF(Ijour=0,MIN(DATE(YEAR(DebAmort),MONTH(DebAmort)+(H443-1)*Imois,Jour1),DATE(YEAR(DebAmort),MONTH(DebAmort)+1+(H443-1)*Imois,0)),DATE(YEAR(DebAmort),MONTH(DebAmort),Jour1+(H443-1)*Ijour)))</x:f>
      </x:c>
      <x:c r="L443" s="341">
        <x:f>L442-N442</x:f>
      </x:c>
      <x:c r="M443" s="331">
        <x:f>IF(H443&lt;=NoEchMaxi,ROUND(L443*R443,NbDeci),0)</x:f>
      </x:c>
      <x:c r="N443" s="330">
        <x:f>IF(OR(H443&lt;=Différé,H443&gt;NoEchMaxi),IF(DiffTotal,-M443,0),IF(H443&gt;=NoEchRemb,L443,IF(S443-(M443*EchFIXE)&gt;L443-2,L443,S443-(M443*EchFIXE))))+C443</x:f>
      </x:c>
      <x:c r="O443" s="332">
        <x:f>IF(OR(L443=0,H443&gt;NoEchMaxi),0,ROUND(FraisF+FraisV*L443,NbDeci))+F443</x:f>
      </x:c>
      <x:c r="P443" s="342">
        <x:f>SUM(M443:O443)</x:f>
      </x:c>
      <x:c r="Q443" s="0"/>
      <x:c r="R443" s="71">
        <x:f>IF(B443&gt;0,IF(TauxActuariel,((B443+1)^(1/NbEchAn))-1,B443/NbEchAn),R442)</x:f>
      </x:c>
      <x:c r="S443" s="70">
        <x:f>IF(E443&gt;0,E443,IF(D443&gt;0,IF(AND(EchFIXE,R443&gt;0),ROUND((L443-C443)*R443/(1-((1+R443)^-D443)),NbDeci),ROUND(L443/D443,NbDeci)),S442))</x:f>
      </x:c>
    </x:row>
    <x:row r="444" spans="1:31" x14ac:dyDescent="0.2">
      <x:c r="B444" s="334"/>
      <x:c r="C444" s="335"/>
      <x:c r="D444" s="336"/>
      <x:c r="E444" s="337"/>
      <x:c r="F444" s="338"/>
      <x:c r="H444" s="327">
        <x:f>IF(L444=0,"",H443+1)</x:f>
      </x:c>
      <x:c r="I444" s="328">
        <x:f>IF(L444&gt;0,NbEch+Différé+1-H444,"")</x:f>
      </x:c>
      <x:c r="J444" s="339">
        <x:f>IF(ISNUMBER(K444),YEAR(K444),"")</x:f>
      </x:c>
      <x:c r="K444" s="340">
        <x:f>IF(L444=0,"",IF(Ijour=0,MIN(DATE(YEAR(DebAmort),MONTH(DebAmort)+MoisD+(H444-1)*Imois,Jour2),DATE(YEAR(DebAmort),MONTH(DebAmort)+MoisD+1+(H444-1)*Imois,0)),DATE(YEAR(DebAmort),MONTH(DebAmort),Jour1+(H444-1)*Ijour)))</x:f>
      </x:c>
      <x:c r="L444" s="341">
        <x:f>L443-N443</x:f>
      </x:c>
      <x:c r="M444" s="331">
        <x:f>IF(H444&lt;=NoEchMaxi,ROUND(L444*R444,NbDeci),0)</x:f>
      </x:c>
      <x:c r="N444" s="330">
        <x:f>IF(OR(H444&lt;=Différé,H444&gt;NoEchMaxi),IF(DiffTotal,-M444,0),IF(H444&gt;=NoEchRemb,L444,IF(S444-(M444*EchFIXE)&gt;L444-2,L444,S444-(M444*EchFIXE))))+C444</x:f>
      </x:c>
      <x:c r="O444" s="332">
        <x:f>IF(OR(L444=0,H444&gt;NoEchMaxi),0,ROUND(FraisF+FraisV*L444,NbDeci))+F444</x:f>
      </x:c>
      <x:c r="P444" s="342">
        <x:f>SUM(M444:O444)</x:f>
      </x:c>
      <x:c r="Q444" s="0"/>
      <x:c r="R444" s="71">
        <x:f>IF(B444&gt;0,IF(TauxActuariel,((B444+1)^(1/NbEchAn))-1,B444/NbEchAn),R443)</x:f>
      </x:c>
      <x:c r="S444" s="70">
        <x:f>IF(E444&gt;0,E444,IF(D444&gt;0,IF(AND(EchFIXE,R444&gt;0),ROUND((L444-C444)*R444/(1-((1+R444)^-D444)),NbDeci),ROUND(L444/D444,NbDeci)),S443))</x:f>
      </x:c>
    </x:row>
    <x:row r="445" spans="1:31" x14ac:dyDescent="0.2">
      <x:c r="B445" s="334"/>
      <x:c r="C445" s="335"/>
      <x:c r="D445" s="336"/>
      <x:c r="E445" s="337"/>
      <x:c r="F445" s="338"/>
      <x:c r="H445" s="327">
        <x:f>IF(L445=0,"",H444+1)</x:f>
      </x:c>
      <x:c r="I445" s="328">
        <x:f>IF(L445&gt;0,NbEch+Différé+1-H445,"")</x:f>
      </x:c>
      <x:c r="J445" s="339">
        <x:f>IF(ISNUMBER(K445),YEAR(K445),"")</x:f>
      </x:c>
      <x:c r="K445" s="340">
        <x:f>IF(L445=0,"",IF(Ijour=0,MIN(DATE(YEAR(DebAmort),MONTH(DebAmort)+(H445-1)*Imois,Jour1),DATE(YEAR(DebAmort),MONTH(DebAmort)+1+(H445-1)*Imois,0)),DATE(YEAR(DebAmort),MONTH(DebAmort),Jour1+(H445-1)*Ijour)))</x:f>
      </x:c>
      <x:c r="L445" s="341">
        <x:f>L444-N444</x:f>
      </x:c>
      <x:c r="M445" s="331">
        <x:f>IF(H445&lt;=NoEchMaxi,ROUND(L445*R445,NbDeci),0)</x:f>
      </x:c>
      <x:c r="N445" s="330">
        <x:f>IF(OR(H445&lt;=Différé,H445&gt;NoEchMaxi),IF(DiffTotal,-M445,0),IF(H445&gt;=NoEchRemb,L445,IF(S445-(M445*EchFIXE)&gt;L445-2,L445,S445-(M445*EchFIXE))))+C445</x:f>
      </x:c>
      <x:c r="O445" s="332">
        <x:f>IF(OR(L445=0,H445&gt;NoEchMaxi),0,ROUND(FraisF+FraisV*L445,NbDeci))+F445</x:f>
      </x:c>
      <x:c r="P445" s="342">
        <x:f>SUM(M445:O445)</x:f>
      </x:c>
      <x:c r="Q445" s="0"/>
      <x:c r="R445" s="71">
        <x:f>IF(B445&gt;0,IF(TauxActuariel,((B445+1)^(1/NbEchAn))-1,B445/NbEchAn),R444)</x:f>
      </x:c>
      <x:c r="S445" s="70">
        <x:f>IF(E445&gt;0,E445,IF(D445&gt;0,IF(AND(EchFIXE,R445&gt;0),ROUND((L445-C445)*R445/(1-((1+R445)^-D445)),NbDeci),ROUND(L445/D445,NbDeci)),S444))</x:f>
      </x:c>
    </x:row>
    <x:row r="446" spans="1:31" x14ac:dyDescent="0.2">
      <x:c r="B446" s="334"/>
      <x:c r="C446" s="335"/>
      <x:c r="D446" s="336"/>
      <x:c r="E446" s="337"/>
      <x:c r="F446" s="338"/>
      <x:c r="H446" s="327">
        <x:f>IF(L446=0,"",H445+1)</x:f>
      </x:c>
      <x:c r="I446" s="328">
        <x:f>IF(L446&gt;0,NbEch+Différé+1-H446,"")</x:f>
      </x:c>
      <x:c r="J446" s="339">
        <x:f>IF(ISNUMBER(K446),YEAR(K446),"")</x:f>
      </x:c>
      <x:c r="K446" s="340">
        <x:f>IF(L446=0,"",IF(Ijour=0,MIN(DATE(YEAR(DebAmort),MONTH(DebAmort)+MoisD+(H446-1)*Imois,Jour2),DATE(YEAR(DebAmort),MONTH(DebAmort)+MoisD+1+(H446-1)*Imois,0)),DATE(YEAR(DebAmort),MONTH(DebAmort),Jour1+(H446-1)*Ijour)))</x:f>
      </x:c>
      <x:c r="L446" s="341">
        <x:f>L445-N445</x:f>
      </x:c>
      <x:c r="M446" s="331">
        <x:f>IF(H446&lt;=NoEchMaxi,ROUND(L446*R446,NbDeci),0)</x:f>
      </x:c>
      <x:c r="N446" s="330">
        <x:f>IF(OR(H446&lt;=Différé,H446&gt;NoEchMaxi),IF(DiffTotal,-M446,0),IF(H446&gt;=NoEchRemb,L446,IF(S446-(M446*EchFIXE)&gt;L446-2,L446,S446-(M446*EchFIXE))))+C446</x:f>
      </x:c>
      <x:c r="O446" s="332">
        <x:f>IF(OR(L446=0,H446&gt;NoEchMaxi),0,ROUND(FraisF+FraisV*L446,NbDeci))+F446</x:f>
      </x:c>
      <x:c r="P446" s="342">
        <x:f>SUM(M446:O446)</x:f>
      </x:c>
      <x:c r="Q446" s="0"/>
      <x:c r="R446" s="71">
        <x:f>IF(B446&gt;0,IF(TauxActuariel,((B446+1)^(1/NbEchAn))-1,B446/NbEchAn),R445)</x:f>
      </x:c>
      <x:c r="S446" s="70">
        <x:f>IF(E446&gt;0,E446,IF(D446&gt;0,IF(AND(EchFIXE,R446&gt;0),ROUND((L446-C446)*R446/(1-((1+R446)^-D446)),NbDeci),ROUND(L446/D446,NbDeci)),S445))</x:f>
      </x:c>
    </x:row>
    <x:row r="447" spans="1:31" ht="13.5" customHeight="1" x14ac:dyDescent="0.2">
      <x:c r="B447" s="343"/>
      <x:c r="C447" s="344"/>
      <x:c r="D447" s="345"/>
      <x:c r="E447" s="346"/>
      <x:c r="F447" s="347"/>
      <x:c r="H447" s="348">
        <x:f>IF(L447=0,"",H446+1)</x:f>
      </x:c>
      <x:c r="I447" s="349">
        <x:f>IF(L447&gt;0,NbEch+Différé+1-H447,"")</x:f>
      </x:c>
      <x:c r="J447" s="349">
        <x:f>IF(ISNUMBER(K447),YEAR(K447),"")</x:f>
      </x:c>
      <x:c r="K447" s="350">
        <x:f>IF(L447=0,"",IF(Ijour=0,MIN(DATE(YEAR(DebAmort),MONTH(DebAmort)+(H447-1)*Imois,Jour1),DATE(YEAR(DebAmort),MONTH(DebAmort)+1+(H447-1)*Imois,0)),DATE(YEAR(DebAmort),MONTH(DebAmort),Jour1+(H447-1)*Ijour)))</x:f>
      </x:c>
      <x:c r="L447" s="351">
        <x:f>L446-N446</x:f>
      </x:c>
      <x:c r="M447" s="352">
        <x:f>IF(H447&lt;=NoEchMaxi,ROUND(L447*R447,NbDeci),0)</x:f>
      </x:c>
      <x:c r="N447" s="351">
        <x:f>IF(OR(H447&lt;=Différé,H447&gt;NoEchMaxi),IF(DiffTotal,-M447,0),IF(H447&gt;=NoEchRemb,L447,IF(S447-(M447*EchFIXE)&gt;L447-2,L447,S447-(M447*EchFIXE))))+C447</x:f>
      </x:c>
      <x:c r="O447" s="353">
        <x:f>IF(OR(L447=0,H447&gt;NoEchMaxi),0,ROUND(FraisF+FraisV*L447,NbDeci))+F447</x:f>
      </x:c>
      <x:c r="P447" s="354">
        <x:f>SUM(M447:O447)</x:f>
      </x:c>
      <x:c r="Q447" s="0"/>
      <x:c r="R447" s="71">
        <x:f>IF(B447&gt;0,IF(TauxActuariel,((B447+1)^(1/NbEchAn))-1,B447/NbEchAn),R446)</x:f>
      </x:c>
      <x:c r="S447" s="70">
        <x:f>IF(E447&gt;0,E447,IF(D447&gt;0,IF(AND(EchFIXE,R447&gt;0),ROUND((L447-C447)*R447/(1-((1+R447)^-D447)),NbDeci),ROUND(L447/D447,NbDeci)),S446))</x:f>
      </x:c>
    </x:row>
    <x:row r="449" spans="1:31" x14ac:dyDescent="0.2">
      <x:c r="K449" s="355" t="s">
        <x:v>60</x:v>
      </x:c>
      <x:c r="L449" s="355"/>
      <x:c r="M449" s="356">
        <x:f>SUBTOTAL(9,M14:M447)</x:f>
      </x:c>
      <x:c r="N449" s="356">
        <x:f>SUBTOTAL(9,N14:N447)</x:f>
      </x:c>
      <x:c r="O449" s="356">
        <x:f>SUBTOTAL(9,O14:O447)</x:f>
      </x:c>
      <x:c r="P449" s="356">
        <x:f>SUBTOTAL(9,P14:P447)</x:f>
      </x:c>
    </x:row>
  </x:sheetData>
  <x:sheetProtection password="AE4F" sheet="1" objects="1" formatCells="0" autoFilter="0"/>
  <x:autoFilter ref="J13:J447"/>
  <x:mergeCells count="24">
    <x:mergeCell ref="N3:O3"/>
    <x:mergeCell ref="N4:O4"/>
    <x:mergeCell ref="N5:O5"/>
    <x:mergeCell ref="N6:O6"/>
    <x:mergeCell ref="N7:O7"/>
    <x:mergeCell ref="N8:O8"/>
    <x:mergeCell ref="B10:F10"/>
    <x:mergeCell ref="H10:P10"/>
    <x:mergeCell ref="R10:S10"/>
    <x:mergeCell ref="I11:I13"/>
    <x:mergeCell ref="K11:K13"/>
    <x:mergeCell ref="L11:L13"/>
    <x:mergeCell ref="M11:M13"/>
    <x:mergeCell ref="N11:N13"/>
    <x:mergeCell ref="O11:O13"/>
    <x:mergeCell ref="P11:P13"/>
    <x:mergeCell ref="R11:R13"/>
    <x:mergeCell ref="S11:S13"/>
    <x:mergeCell ref="B12:B13"/>
    <x:mergeCell ref="C12:C13"/>
    <x:mergeCell ref="D12:D13"/>
    <x:mergeCell ref="E12:E13"/>
    <x:mergeCell ref="F12:F13"/>
    <x:mergeCell ref="D14:E14"/>
  </x:mergeCells>
  <x:phoneticPr fontId="7" type="noConversion"/>
  <x:conditionalFormatting sqref="H15:P447">
    <x:cfRule type="expression" dxfId="0" priority="1" stopIfTrue="1" operator="equal">
      <x:formula>$H15=""</x:formula>
    </x:cfRule>
    <x:cfRule type="expression" dxfId="1" priority="2" stopIfTrue="1" operator="equal">
      <x:formula>$H15&lt;=Différé</x:formula>
    </x:cfRule>
  </x:conditionalFormatting>
  <x:conditionalFormatting sqref="B15:F447">
    <x:cfRule type="expression" dxfId="0" priority="3" stopIfTrue="1" operator="equal">
      <x:formula>$H15=""</x:formula>
    </x:cfRule>
    <x:cfRule type="expression" dxfId="2" priority="4" stopIfTrue="1" operator="equal">
      <x:formula>$H15&lt;=Différé</x:formula>
    </x:cfRule>
  </x:conditionalFormatting>
  <x:conditionalFormatting sqref="N6:P6">
    <x:cfRule type="expression" dxfId="3" priority="5" stopIfTrue="1" operator="equal">
      <x:formula>$P$6&lt;$D$3</x:formula>
    </x:cfRule>
  </x:conditionalFormatting>
  <x:conditionalFormatting sqref="M7:M7">
    <x:cfRule type="expression" dxfId="4" priority="6" stopIfTrue="1" operator="equal">
      <x:formula>MOD(Différé,1)&lt;&gt;0</x:formula>
    </x:cfRule>
  </x:conditionalFormatting>
  <x:printOptions horizontalCentered="0" verticalCentered="0" headings="0" gridLines="0"/>
  <x:pageMargins left="0.787401575" right="0.787401575" top="0.984251969" bottom="0.984251969" header="0.4921259845" footer="0.4921259845"/>
  <x:pageSetup paperSize="9" scale="100" pageOrder="downThenOver" orientation="portrait" blackAndWhite="0" draft="0" cellComments="none" errors="displayed" r:id="rId1"/>
  <x:headerFooter alignWithMargins="0"/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72" r:id="rId4" name="Drop Down 48">
              <x:controlPr locked="0" defaultSize="0" autoLine="0" autoPict="0" altText="Périodicité">
                <x:anchor moveWithCells="1">
                  <x:from>
                    <xdr:col>6</xdr:col>
                    <xdr:colOff>47625</xdr:colOff>
                    <xdr:row>4</xdr:row>
                    <xdr:rowOff>152400</xdr:rowOff>
                  </x:from>
                  <x:to>
                    <xdr:col>9</xdr:col>
                    <xdr:colOff>85725</xdr:colOff>
                    <xdr:row>6</xdr:row>
                    <xdr:rowOff>28575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80" r:id="rId5" name="Option Button 56">
              <x:controlPr locked="0" defaultSize="0" autoFill="0" autoLine="0" autoPict="0">
                <x:anchor moveWithCells="1">
                  <x:from>
                    <xdr:col>2</xdr:col>
                    <xdr:colOff>9525</xdr:colOff>
                    <xdr:row>5</xdr:row>
                    <xdr:rowOff>28575</xdr:rowOff>
                  </x:from>
                  <x:to>
                    <xdr:col>2</xdr:col>
                    <xdr:colOff>628650</xdr:colOff>
                    <xdr:row>6</xdr:row>
                    <xdr:rowOff>85725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81" r:id="rId6" name="Option Button 57">
              <x:controlPr locked="0" defaultSize="0" autoFill="0" autoLine="0" autoPict="0">
                <x:anchor moveWithCells="1">
                  <x:from>
                    <xdr:col>2</xdr:col>
                    <xdr:colOff>609600</xdr:colOff>
                    <xdr:row>5</xdr:row>
                    <xdr:rowOff>28575</xdr:rowOff>
                  </x:from>
                  <x:to>
                    <xdr:col>3</xdr:col>
                    <xdr:colOff>628650</xdr:colOff>
                    <xdr:row>6</xdr:row>
                    <xdr:rowOff>85725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82" r:id="rId7" name="Group Box 58">
              <x:controlPr defaultSize="0" autoFill="0" autoPict="0">
                <x:anchor moveWithCells="1">
                  <x:from>
                    <xdr:col>2</xdr:col>
                    <xdr:colOff>0</xdr:colOff>
                    <xdr:row>5</xdr:row>
                    <xdr:rowOff>19050</xdr:rowOff>
                  </x:from>
                  <x:to>
                    <xdr:col>3</xdr:col>
                    <xdr:colOff>657225</xdr:colOff>
                    <xdr:row>6</xdr:row>
                    <xdr:rowOff>104775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83" r:id="rId8" name="Option Button 59">
              <x:controlPr locked="0" defaultSize="0" autoFill="0" autoLine="0" autoPict="0">
                <x:anchor moveWithCells="1">
                  <x:from>
                    <xdr:col>11</xdr:col>
                    <xdr:colOff>504825</xdr:colOff>
                    <xdr:row>4</xdr:row>
                    <xdr:rowOff>47625</xdr:rowOff>
                  </x:from>
                  <x:to>
                    <xdr:col>12</xdr:col>
                    <xdr:colOff>247650</xdr:colOff>
                    <xdr:row>5</xdr:row>
                    <xdr:rowOff>104775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84" r:id="rId9" name="Option Button 60">
              <x:controlPr locked="0" defaultSize="0" autoFill="0" autoLine="0" autoPict="0">
                <x:anchor moveWithCells="1">
                  <x:from>
                    <xdr:col>12</xdr:col>
                    <xdr:colOff>238125</xdr:colOff>
                    <xdr:row>4</xdr:row>
                    <xdr:rowOff>47625</xdr:rowOff>
                  </x:from>
                  <x:to>
                    <xdr:col>12</xdr:col>
                    <xdr:colOff>685800</xdr:colOff>
                    <xdr:row>5</xdr:row>
                    <xdr:rowOff>104775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85" r:id="rId10" name="Group Box 61">
              <x:controlPr defaultSize="0" autoFill="0" autoPict="0">
                <x:anchor moveWithCells="1">
                  <x:from>
                    <xdr:col>11</xdr:col>
                    <xdr:colOff>485775</xdr:colOff>
                    <xdr:row>4</xdr:row>
                    <xdr:rowOff>28575</xdr:rowOff>
                  </x:from>
                  <x:to>
                    <xdr:col>12</xdr:col>
                    <xdr:colOff>714375</xdr:colOff>
                    <xdr:row>5</xdr:row>
                    <xdr:rowOff>114300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Feuil2">
    <x:tabColor indexed="22"/>
    <x:outlinePr summaryBelow="1" summaryRight="1"/>
  </x:sheetPr>
  <x:dimension ref="B1:I37"/>
  <x:sheetViews>
    <x:sheetView showGridLines="0" topLeftCell="A21" workbookViewId="0">
      <x:selection activeCell="D3" sqref="D3"/>
    </x:sheetView>
  </x:sheetViews>
  <x:sheetFormatPr defaultRowHeight="12.75" x14ac:dyDescent="0.2"/>
  <x:cols>
    <x:col min="1" max="1" width="4.710938" style="0" customWidth="1"/>
    <x:col min="2" max="7" width="12.710938" style="0" customWidth="1"/>
    <x:col min="8" max="8" width="11.425781" style="0" customWidth="1"/>
    <x:col min="9" max="9" width="11.710938" style="50" hidden="1" customWidth="1"/>
    <x:col min="10" max="256" width="11.425781" style="0" customWidth="1"/>
  </x:cols>
  <x:sheetData>
    <x:row r="1" spans="1:256" x14ac:dyDescent="0.2">
      <x:c r="I1" s="50" t="s">
        <x:v>61</x:v>
      </x:c>
    </x:row>
    <x:row r="2" spans="1:256" x14ac:dyDescent="0.2">
      <x:c r="B2" s="357" t="s">
        <x:v>62</x:v>
      </x:c>
      <x:c r="C2" s="358"/>
      <x:c r="D2" s="358"/>
      <x:c r="E2" s="358"/>
      <x:c r="F2" s="359"/>
      <x:c r="G2" s="360"/>
      <x:c r="I2" s="50" t="s">
        <x:v>63</x:v>
      </x:c>
    </x:row>
    <x:row r="3" spans="1:256" x14ac:dyDescent="0.2">
      <x:c r="B3" s="361" t="s">
        <x:v>64</x:v>
      </x:c>
      <x:c r="C3" s="362"/>
      <x:c r="D3" s="363">
        <x:v>3</x:v>
      </x:c>
      <x:c r="E3" s="362"/>
      <x:c r="F3" s="362"/>
      <x:c r="G3" s="364"/>
      <x:c r="I3" s="50" t="s">
        <x:v>65</x:v>
      </x:c>
    </x:row>
    <x:row r="4" spans="1:256" x14ac:dyDescent="0.2">
      <x:c r="I4" s="50" t="s">
        <x:v>66</x:v>
      </x:c>
    </x:row>
    <x:row r="5" spans="1:256" x14ac:dyDescent="0.2">
      <x:c r="B5" s="357" t="s">
        <x:v>67</x:v>
      </x:c>
      <x:c r="C5" s="358"/>
      <x:c r="D5" s="358"/>
      <x:c r="E5" s="358"/>
      <x:c r="F5" s="358"/>
      <x:c r="G5" s="365"/>
    </x:row>
    <x:row r="6" spans="1:256" x14ac:dyDescent="0.2">
      <x:c r="B6" s="366"/>
      <x:c r="C6" s="367"/>
      <x:c r="D6" s="367"/>
      <x:c r="E6" s="367"/>
      <x:c r="F6" s="367"/>
      <x:c r="G6" s="368"/>
    </x:row>
    <x:row r="7" spans="1:256" x14ac:dyDescent="0.2">
      <x:c r="B7" s="369"/>
      <x:c r="C7" s="370"/>
      <x:c r="D7" s="370"/>
      <x:c r="E7" s="370"/>
      <x:c r="F7" s="370"/>
      <x:c r="G7" s="371"/>
    </x:row>
    <x:row r="8" spans="1:256" x14ac:dyDescent="0.2">
      <x:c r="B8" s="369"/>
      <x:c r="C8" s="370"/>
      <x:c r="D8" s="370"/>
      <x:c r="E8" s="370"/>
      <x:c r="F8" s="370"/>
      <x:c r="G8" s="371"/>
    </x:row>
    <x:row r="9" spans="1:256" x14ac:dyDescent="0.2">
      <x:c r="B9" s="372"/>
      <x:c r="C9" s="373"/>
      <x:c r="D9" s="373"/>
      <x:c r="E9" s="373"/>
      <x:c r="F9" s="373"/>
      <x:c r="G9" s="374"/>
      <x:c r="I9" s="375">
        <x:v>1</x:v>
      </x:c>
    </x:row>
    <x:row r="11" spans="1:256" x14ac:dyDescent="0.2">
      <x:c r="B11" s="357" t="s">
        <x:v>68</x:v>
      </x:c>
      <x:c r="C11" s="358"/>
      <x:c r="D11" s="358"/>
      <x:c r="E11" s="358"/>
      <x:c r="F11" s="359"/>
      <x:c r="G11" s="360"/>
    </x:row>
    <x:row r="12" spans="1:256" x14ac:dyDescent="0.2">
      <x:c r="B12" s="366"/>
      <x:c r="C12" s="367"/>
      <x:c r="D12" s="367"/>
      <x:c r="E12" s="367"/>
      <x:c r="F12" s="367"/>
      <x:c r="G12" s="368"/>
      <x:c r="I12" s="376" t="b">
        <x:v>0</x:v>
      </x:c>
    </x:row>
    <x:row r="13" spans="1:256" x14ac:dyDescent="0.2">
      <x:c r="B13" s="369"/>
      <x:c r="C13" s="370"/>
      <x:c r="D13" s="370"/>
      <x:c r="E13" s="370"/>
      <x:c r="F13" s="370"/>
      <x:c r="G13" s="371"/>
    </x:row>
    <x:row r="14" spans="1:256" x14ac:dyDescent="0.2">
      <x:c r="B14" s="369"/>
      <x:c r="C14" s="377" t="s">
        <x:v>69</x:v>
      </x:c>
      <x:c r="D14" s="363"/>
      <x:c r="E14" s="370" t="s">
        <x:v>70</x:v>
      </x:c>
      <x:c r="F14" s="378"/>
      <x:c r="G14" s="371" t="s">
        <x:v>15</x:v>
      </x:c>
    </x:row>
    <x:row r="15" spans="1:256" x14ac:dyDescent="0.2">
      <x:c r="B15" s="369"/>
      <x:c r="C15" s="370"/>
      <x:c r="D15" s="370"/>
      <x:c r="E15" s="370"/>
      <x:c r="F15" s="370"/>
      <x:c r="G15" s="371"/>
      <x:c r="I15" s="379" t="b">
        <x:v>0</x:v>
      </x:c>
    </x:row>
    <x:row r="16" spans="1:256" x14ac:dyDescent="0.2">
      <x:c r="B16" s="369"/>
      <x:c r="C16" s="370"/>
      <x:c r="D16" s="370"/>
      <x:c r="E16" s="370"/>
      <x:c r="F16" s="370"/>
      <x:c r="G16" s="371"/>
    </x:row>
    <x:row r="17" spans="1:256" x14ac:dyDescent="0.2">
      <x:c r="B17" s="372"/>
      <x:c r="C17" s="373"/>
      <x:c r="D17" s="380">
        <x:f>IF(I12=TRUE,(D14*12+F14)*NbEchAn/12,99999)</x:f>
      </x:c>
      <x:c r="E17" s="380">
        <x:f>IF(AND(I12,I15),(D14*12+F14)*NbEchAn/12,99999)</x:f>
      </x:c>
      <x:c r="F17" s="373"/>
      <x:c r="G17" s="374"/>
    </x:row>
    <x:row r="19" spans="1:256" x14ac:dyDescent="0.2">
      <x:c r="B19" s="357" t="s">
        <x:v>71</x:v>
      </x:c>
      <x:c r="C19" s="358"/>
      <x:c r="D19" s="358"/>
      <x:c r="E19" s="358"/>
      <x:c r="F19" s="358"/>
      <x:c r="G19" s="365"/>
    </x:row>
    <x:row r="20" spans="1:256" x14ac:dyDescent="0.2">
      <x:c r="B20" s="381"/>
      <x:c r="C20" s="382"/>
      <x:c r="D20" s="382"/>
      <x:c r="E20" s="382"/>
      <x:c r="F20" s="370"/>
      <x:c r="G20" s="371"/>
    </x:row>
    <x:row r="21" spans="1:256" x14ac:dyDescent="0.2">
      <x:c r="B21" s="369" t="s">
        <x:v>72</x:v>
      </x:c>
      <x:c r="C21" s="370"/>
      <x:c r="D21" s="383">
        <x:f>DebAmort</x:f>
      </x:c>
      <x:c r="E21" s="382"/>
      <x:c r="F21" s="370"/>
      <x:c r="G21" s="371"/>
    </x:row>
    <x:row r="22" spans="1:256" x14ac:dyDescent="0.2">
      <x:c r="B22" s="369" t="s">
        <x:v>73</x:v>
      </x:c>
      <x:c r="C22" s="370"/>
      <x:c r="D22" s="383">
        <x:f>IF(Ijour=0,MIN(DATE(YEAR(DebAmort),MONTH(DebAmort)-MoisD-Imois,Jour2),DATE(YEAR(DebAmort),MONTH(DebAmort)-MoisD+1-Imois,0)),DATE(YEAR(DebAmort),MONTH(DebAmort),Jour1-Ijour))</x:f>
      </x:c>
      <x:c r="E22" s="384">
        <x:f>"   (Durée période : "&amp;F37&amp;" jours)"</x:f>
      </x:c>
      <x:c r="F22" s="370"/>
      <x:c r="G22" s="371"/>
    </x:row>
    <x:row r="23" spans="1:256" x14ac:dyDescent="0.2">
      <x:c r="B23" s="369" t="s">
        <x:v>74</x:v>
      </x:c>
      <x:c r="C23" s="370"/>
      <x:c r="D23" s="385">
        <x:f>D22+I23-500</x:f>
      </x:c>
      <x:c r="E23" s="384">
        <x:f>"   (Durée période : "&amp;G37&amp;" jours)"</x:f>
      </x:c>
      <x:c r="F23" s="370"/>
      <x:c r="G23" s="371"/>
      <x:c r="I23" s="386">
        <x:v>500</x:v>
      </x:c>
    </x:row>
    <x:row r="24" spans="1:256" x14ac:dyDescent="0.2">
      <x:c r="B24" s="381"/>
      <x:c r="C24" s="382"/>
      <x:c r="D24" s="382"/>
      <x:c r="E24" s="382"/>
      <x:c r="F24" s="370"/>
      <x:c r="G24" s="371"/>
    </x:row>
    <x:row r="25" spans="1:256" x14ac:dyDescent="0.2">
      <x:c r="B25" s="381"/>
      <x:c r="C25" s="382"/>
      <x:c r="D25" s="382"/>
      <x:c r="E25" s="382"/>
      <x:c r="F25" s="370"/>
      <x:c r="G25" s="371"/>
    </x:row>
    <x:row r="26" spans="1:256" x14ac:dyDescent="0.2">
      <x:c r="B26" s="381"/>
      <x:c r="C26" s="382"/>
      <x:c r="D26" s="382"/>
      <x:c r="E26" s="382"/>
      <x:c r="F26" s="370"/>
      <x:c r="G26" s="371"/>
    </x:row>
    <x:row r="27" spans="1:256" x14ac:dyDescent="0.2">
      <x:c r="B27" s="381"/>
      <x:c r="C27" s="382"/>
      <x:c r="D27" s="382"/>
      <x:c r="E27" s="382"/>
      <x:c r="F27" s="370"/>
      <x:c r="G27" s="371"/>
      <x:c r="I27" s="387">
        <x:v>1</x:v>
      </x:c>
    </x:row>
    <x:row r="28" spans="1:256" x14ac:dyDescent="0.2">
      <x:c r="B28" s="381"/>
      <x:c r="C28" s="382"/>
      <x:c r="D28" s="382"/>
      <x:c r="E28" s="382"/>
      <x:c r="F28" s="370"/>
      <x:c r="G28" s="371"/>
    </x:row>
    <x:row r="29" spans="1:256" x14ac:dyDescent="0.2">
      <x:c r="B29" s="381"/>
      <x:c r="C29" s="382"/>
      <x:c r="D29" s="382"/>
      <x:c r="E29" s="382"/>
      <x:c r="F29" s="370"/>
      <x:c r="G29" s="371"/>
    </x:row>
    <x:row r="30" spans="1:256" x14ac:dyDescent="0.2">
      <x:c r="B30" s="381"/>
      <x:c r="C30" s="382"/>
      <x:c r="D30" s="382"/>
      <x:c r="E30" s="382"/>
      <x:c r="F30" s="370"/>
      <x:c r="G30" s="371"/>
    </x:row>
    <x:row r="31" spans="1:256" x14ac:dyDescent="0.2">
      <x:c r="B31" s="381"/>
      <x:c r="C31" s="382"/>
      <x:c r="D31" s="382"/>
      <x:c r="E31" s="382"/>
      <x:c r="F31" s="370"/>
      <x:c r="G31" s="371"/>
    </x:row>
    <x:row r="32" spans="1:256" x14ac:dyDescent="0.2">
      <x:c r="B32" s="388"/>
      <x:c r="C32" s="370"/>
      <x:c r="D32" s="389" t="s">
        <x:v>75</x:v>
      </x:c>
      <x:c r="E32" s="389" t="s">
        <x:v>76</x:v>
      </x:c>
      <x:c r="F32" s="389" t="s">
        <x:v>77</x:v>
      </x:c>
      <x:c r="G32" s="390"/>
    </x:row>
    <x:row r="33" spans="1:256" x14ac:dyDescent="0.2">
      <x:c r="B33" s="369" t="s">
        <x:v>78</x:v>
      </x:c>
      <x:c r="C33" s="370"/>
      <x:c r="D33" s="391">
        <x:f>D22</x:f>
      </x:c>
      <x:c r="E33" s="391">
        <x:f>D23</x:f>
      </x:c>
      <x:c r="F33" s="391">
        <x:f>D23</x:f>
      </x:c>
      <x:c r="G33" s="392"/>
    </x:row>
    <x:row r="34" spans="1:256" x14ac:dyDescent="0.2">
      <x:c r="B34" s="369" t="s">
        <x:v>79</x:v>
      </x:c>
      <x:c r="C34" s="370"/>
      <x:c r="D34" s="393">
        <x:f>ROUND(TAM!L15*TAM!R15,NbDeci)</x:f>
      </x:c>
      <x:c r="E34" s="393">
        <x:f>IF(TauxActuariel,
ROUND(TAM!L15*(((TAM!D5+1)^(G37/365))-1),NbDeci),
ROUND(TAM!L15*(TAM!D5*G37/365),NbDeci))</x:f>
      </x:c>
      <x:c r="F34" s="394"/>
      <x:c r="G34" s="395"/>
    </x:row>
    <x:row r="35" spans="1:256" x14ac:dyDescent="0.2">
      <x:c r="B35" s="369" t="s">
        <x:v>80</x:v>
      </x:c>
      <x:c r="C35" s="370"/>
      <x:c r="D35" s="393">
        <x:f>IF(1&lt;=Différé,IF(DiffTotal,-D34,0),TAM!S15-(D34*EchFIXE))</x:f>
      </x:c>
      <x:c r="E35" s="393">
        <x:f>IF(AND(1&lt;=Différé,DiffTotal),-E34,D35)</x:f>
      </x:c>
      <x:c r="F35" s="394"/>
      <x:c r="G35" s="395"/>
    </x:row>
    <x:row r="36" spans="1:256" x14ac:dyDescent="0.2">
      <x:c r="B36" s="369" t="s">
        <x:v>81</x:v>
      </x:c>
      <x:c r="C36" s="370"/>
      <x:c r="D36" s="393">
        <x:f>D34+D35</x:f>
      </x:c>
      <x:c r="E36" s="393">
        <x:f>E34+E35</x:f>
      </x:c>
      <x:c r="F36" s="393">
        <x:f>F34+F35</x:f>
      </x:c>
      <x:c r="G36" s="395"/>
    </x:row>
    <x:row r="37" spans="1:256" x14ac:dyDescent="0.2">
      <x:c r="B37" s="372"/>
      <x:c r="C37" s="396">
        <x:f>IF(I27=1,D22,D23)</x:f>
      </x:c>
      <x:c r="D37" s="397">
        <x:f>IF(I27=1,D34)+IF(I27=2,E34)+IF(I27=3,F34)</x:f>
      </x:c>
      <x:c r="E37" s="397">
        <x:f>IF(I27=1,D35)+IF(I27=2,E35)+IF(I27=3,F35)</x:f>
      </x:c>
      <x:c r="F37" s="380">
        <x:f>D21-D22</x:f>
      </x:c>
      <x:c r="G37" s="398">
        <x:f>D21-D23</x:f>
      </x:c>
    </x:row>
  </x:sheetData>
  <x:sheetProtection password="AE4F" sheet="1" objects="1" selectLockedCells="1"/>
  <x:phoneticPr fontId="7" type="noConversion"/>
  <x:conditionalFormatting sqref="D33:D36">
    <x:cfRule type="expression" dxfId="5" priority="1" stopIfTrue="1" operator="equal">
      <x:formula>$I$27=1</x:formula>
    </x:cfRule>
  </x:conditionalFormatting>
  <x:conditionalFormatting sqref="E33:E36">
    <x:cfRule type="expression" dxfId="5" priority="2" stopIfTrue="1" operator="equal">
      <x:formula>$I$27=2</x:formula>
    </x:cfRule>
  </x:conditionalFormatting>
  <x:conditionalFormatting sqref="F33:F36">
    <x:cfRule type="expression" dxfId="5" priority="3" stopIfTrue="1" operator="equal">
      <x:formula>$I$27=3</x:formula>
    </x:cfRule>
  </x:conditionalFormatting>
  <x:printOptions horizontalCentered="0" verticalCentered="0" headings="0" gridLines="0"/>
  <x:pageMargins left="0.787401575" right="0.787401575" top="0.984251969" bottom="0.984251969" header="0.4921259845" footer="0.4921259845"/>
  <x:pageSetup paperSize="9" scale="100" pageOrder="downThenOver" orientation="portrait" blackAndWhite="0" draft="0" cellComments="none" errors="displayed" r:id="rId1"/>
  <x:headerFooter alignWithMargins="0"/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3075" r:id="rId4" name="Group Box 3">
              <x:controlPr defaultSize="0" autoFill="0" autoPict="0">
                <x:anchor moveWithCells="1">
                  <x:from>
                    <xdr:col>1</xdr:col>
                    <xdr:colOff>295275</xdr:colOff>
                    <xdr:row>5</xdr:row>
                    <xdr:rowOff>76200</xdr:rowOff>
                  </x:from>
                  <x:to>
                    <xdr:col>6</xdr:col>
                    <xdr:colOff>190500</xdr:colOff>
                    <xdr:row>7</xdr:row>
                    <xdr:rowOff>66675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76" r:id="rId5" name="Option Button 4">
              <x:controlPr defaultSize="0" autoFill="0" autoLine="0" autoPict="0">
                <x:anchor moveWithCells="1">
                  <x:from>
                    <xdr:col>1</xdr:col>
                    <xdr:colOff>361950</xdr:colOff>
                    <xdr:row>5</xdr:row>
                    <xdr:rowOff>114300</xdr:rowOff>
                  </x:from>
                  <x:to>
                    <xdr:col>3</xdr:col>
                    <xdr:colOff>381000</xdr:colOff>
                    <xdr:row>7</xdr:row>
                    <xdr:rowOff>28575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77" r:id="rId6" name="Option Button 5">
              <x:controlPr defaultSize="0" autoFill="0" autoLine="0" autoPict="0">
                <x:anchor moveWithCells="1">
                  <x:from>
                    <xdr:col>3</xdr:col>
                    <xdr:colOff>685800</xdr:colOff>
                    <xdr:row>5</xdr:row>
                    <xdr:rowOff>114300</xdr:rowOff>
                  </x:from>
                  <x:to>
                    <xdr:col>6</xdr:col>
                    <xdr:colOff>19050</xdr:colOff>
                    <xdr:row>7</xdr:row>
                    <xdr:rowOff>9525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78" r:id="rId7" name="Check Box 6">
              <x:controlPr locked="0" defaultSize="0" autoFill="0" autoLine="0" autoPict="0">
                <x:anchor moveWithCells="1">
                  <x:from>
                    <xdr:col>1</xdr:col>
                    <xdr:colOff>95250</xdr:colOff>
                    <xdr:row>11</xdr:row>
                    <xdr:rowOff>57150</xdr:rowOff>
                  </x:from>
                  <x:to>
                    <xdr:col>3</xdr:col>
                    <xdr:colOff>104775</xdr:colOff>
                    <xdr:row>12</xdr:row>
                    <xdr:rowOff>114300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79" r:id="rId8" name="Check Box 7">
              <x:controlPr locked="0" defaultSize="0" autoFill="0" autoLine="0" autoPict="0">
                <x:anchor moveWithCells="1">
                  <x:from>
                    <xdr:col>1</xdr:col>
                    <xdr:colOff>85725</xdr:colOff>
                    <xdr:row>14</xdr:row>
                    <xdr:rowOff>19050</xdr:rowOff>
                  </x:from>
                  <x:to>
                    <xdr:col>3</xdr:col>
                    <xdr:colOff>838200</xdr:colOff>
                    <xdr:row>15</xdr:row>
                    <xdr:rowOff>76200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81" r:id="rId9" name="Option Button 9">
              <x:controlPr locked="0" defaultSize="0" autoFill="0" autoLine="0" autoPict="0">
                <x:anchor moveWithCells="1">
                  <x:from>
                    <xdr:col>2</xdr:col>
                    <xdr:colOff>38100</xdr:colOff>
                    <xdr:row>24</xdr:row>
                    <xdr:rowOff>9525</xdr:rowOff>
                  </x:from>
                  <x:to>
                    <xdr:col>4</xdr:col>
                    <xdr:colOff>57150</xdr:colOff>
                    <xdr:row>25</xdr:row>
                    <xdr:rowOff>66675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82" r:id="rId10" name="Option Button 10">
              <x:controlPr locked="0" defaultSize="0" autoFill="0" autoLine="0" autoPict="0">
                <x:anchor moveWithCells="1">
                  <x:from>
                    <xdr:col>2</xdr:col>
                    <xdr:colOff>38100</xdr:colOff>
                    <xdr:row>25</xdr:row>
                    <xdr:rowOff>85725</xdr:rowOff>
                  </x:from>
                  <x:to>
                    <xdr:col>5</xdr:col>
                    <xdr:colOff>352425</xdr:colOff>
                    <xdr:row>26</xdr:row>
                    <xdr:rowOff>142875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88" r:id="rId11" name="Group Box 16">
              <x:controlPr defaultSize="0" autoFill="0" autoPict="0">
                <x:anchor moveWithCells="1">
                  <x:from>
                    <xdr:col>1</xdr:col>
                    <xdr:colOff>723900</xdr:colOff>
                    <xdr:row>23</xdr:row>
                    <xdr:rowOff>85725</xdr:rowOff>
                  </x:from>
                  <x:to>
                    <xdr:col>5</xdr:col>
                    <xdr:colOff>600075</xdr:colOff>
                    <xdr:row>30</xdr:row>
                    <xdr:rowOff>85725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89" r:id="rId12" name="Option Button 17">
              <x:controlPr locked="0" defaultSize="0" autoFill="0" autoLine="0" autoPict="0">
                <x:anchor moveWithCells="1">
                  <x:from>
                    <xdr:col>2</xdr:col>
                    <xdr:colOff>38100</xdr:colOff>
                    <xdr:row>27</xdr:row>
                    <xdr:rowOff>9525</xdr:rowOff>
                  </x:from>
                  <x:to>
                    <xdr:col>4</xdr:col>
                    <xdr:colOff>180975</xdr:colOff>
                    <xdr:row>28</xdr:row>
                    <xdr:rowOff>66675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3090" r:id="rId13" name="Spinner 18">
              <x:controlPr locked="0" defaultSize="0" autoPict="0">
                <x:anchor moveWithCells="1">
                  <x:from>
                    <xdr:col>3</xdr:col>
                    <xdr:colOff>809625</xdr:colOff>
                    <xdr:row>21</xdr:row>
                    <xdr:rowOff>123825</xdr:rowOff>
                  </x:from>
                  <x:to>
                    <xdr:col>4</xdr:col>
                    <xdr:colOff>142875</xdr:colOff>
                    <xdr:row>23</xdr:row>
                    <xdr:rowOff>66675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40</vt:i4>
      </vt:variant>
    </vt:vector>
  </ap:HeadingPairs>
  <ap:TitlesOfParts>
    <vt:vector baseType="lpstr" size="42">
      <vt:lpstr>TAM</vt:lpstr>
      <vt:lpstr>Avancé</vt:lpstr>
      <vt:lpstr>TAM!_xlnm._FilterDatabase</vt:lpstr>
      <vt:lpstr>TAM!Print_Area</vt:lpstr>
      <vt:lpstr>TAM!Print_Titles</vt:lpstr>
      <vt:lpstr>Avancé!Print_Area</vt:lpstr>
      <vt:lpstr>Avancé!Print_Titles</vt:lpstr>
      <vt:lpstr>Anniversaire</vt:lpstr>
      <vt:lpstr>CAP1E</vt:lpstr>
      <vt:lpstr>CapitFIXE</vt:lpstr>
      <vt:lpstr>Changement_de_taux</vt:lpstr>
      <vt:lpstr>Cout_Total</vt:lpstr>
      <vt:lpstr>DATDB</vt:lpstr>
      <vt:lpstr>DebAmort</vt:lpstr>
      <vt:lpstr>Différé</vt:lpstr>
      <vt:lpstr>DiffSimple</vt:lpstr>
      <vt:lpstr>DiffTotal</vt:lpstr>
      <vt:lpstr>EchFIXE</vt:lpstr>
      <vt:lpstr>FraisF</vt:lpstr>
      <vt:lpstr>FraisV</vt:lpstr>
      <vt:lpstr>Ijour</vt:lpstr>
      <vt:lpstr>Imois</vt:lpstr>
      <vt:lpstr>INT1E</vt:lpstr>
      <vt:lpstr>Jour1</vt:lpstr>
      <vt:lpstr>Jour2</vt:lpstr>
      <vt:lpstr>MoisD</vt:lpstr>
      <vt:lpstr>MtEch</vt:lpstr>
      <vt:lpstr>MtEmprunt</vt:lpstr>
      <vt:lpstr>NbDeci</vt:lpstr>
      <vt:lpstr>NbEch</vt:lpstr>
      <vt:lpstr>NbEchAn</vt:lpstr>
      <vt:lpstr>NoEchMaxi</vt:lpstr>
      <vt:lpstr>NoEchRemb</vt:lpstr>
      <vt:lpstr>Nombre_échéances</vt:lpstr>
      <vt:lpstr>Periodicite</vt:lpstr>
      <vt:lpstr>RVDebit</vt:lpstr>
      <vt:lpstr>TauxActuariel</vt:lpstr>
      <vt:lpstr>Total_Capital</vt:lpstr>
      <vt:lpstr>Total_Frais</vt:lpstr>
      <vt:lpstr>Total_Intérêts</vt:lpstr>
      <vt:lpstr>TVDebit</vt:lpstr>
      <vt:lpstr>TxPer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JxTamm v3.04</dc:title>
  <dc:subject>cBanque - Tableau amortissement modulable</dc:subject>
  <dc:creator/>
  <lastModifiedBy/>
  <dcterms:created xsi:type="dcterms:W3CDTF">2003-11-22T15:31:27.0000000Z</dcterms:created>
  <dcterms:modified xsi:type="dcterms:W3CDTF">2026-04-15T12:18:19.0000000Z</dcterms:modified>
</coreProperties>
</file>